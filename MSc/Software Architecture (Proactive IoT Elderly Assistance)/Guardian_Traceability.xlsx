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3.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iago\Documents\UC\MEI\AS\Guardian_Intermedia\"/>
    </mc:Choice>
  </mc:AlternateContent>
  <xr:revisionPtr revIDLastSave="0" documentId="8_{7F3A15A1-0D54-4C04-A017-A7AC82560B8C}" xr6:coauthVersionLast="47" xr6:coauthVersionMax="47" xr10:uidLastSave="{00000000-0000-0000-0000-000000000000}"/>
  <bookViews>
    <workbookView xWindow="-120" yWindow="-120" windowWidth="29040" windowHeight="16440" firstSheet="3" activeTab="7" xr2:uid="{00000000-000D-0000-FFFF-FFFF00000000}"/>
  </bookViews>
  <sheets>
    <sheet name="Summary" sheetId="5" r:id="rId1"/>
    <sheet name="Risks" sheetId="6" r:id="rId2"/>
    <sheet name="Issues" sheetId="8" r:id="rId3"/>
    <sheet name="Assumptions" sheetId="7" r:id="rId4"/>
    <sheet name="Dependencies" sheetId="9" r:id="rId5"/>
    <sheet name="ASR" sheetId="1" r:id="rId6"/>
    <sheet name="ARCH" sheetId="2" r:id="rId7"/>
    <sheet name="Relations" sheetId="3" r:id="rId8"/>
  </sheets>
  <externalReferences>
    <externalReference r:id="rId9"/>
  </externalReferences>
  <definedNames>
    <definedName name="Impact">[1]Data!$D$2:$D$4</definedName>
    <definedName name="Importance">[1]Data!$B$2:$B$4</definedName>
    <definedName name="Location">[1]Data!$E$2:$E$3</definedName>
    <definedName name="Prioirty">[1]Data!$C$2:$C$4</definedName>
    <definedName name="RiskLevels">#REF!</definedName>
    <definedName name="Status">[1]Data!$A$2:$A$3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10" roundtripDataSignature="AMtx7mi/05BJ1k80PmpAOG74ABX2AbdsnQ=="/>
    </ext>
  </extLst>
</workbook>
</file>

<file path=xl/calcChain.xml><?xml version="1.0" encoding="utf-8"?>
<calcChain xmlns="http://schemas.openxmlformats.org/spreadsheetml/2006/main">
  <c r="D17" i="3" l="1"/>
  <c r="B17" i="3"/>
  <c r="B16" i="3"/>
  <c r="B6" i="3"/>
  <c r="B7" i="3"/>
  <c r="B8" i="3"/>
  <c r="B9" i="3"/>
  <c r="B10" i="3"/>
  <c r="B11" i="3"/>
  <c r="B12" i="3"/>
  <c r="B13" i="3"/>
  <c r="B14" i="3"/>
  <c r="B15"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C29" i="5"/>
  <c r="C28" i="5"/>
  <c r="C27" i="5"/>
  <c r="C26" i="5"/>
  <c r="C25" i="5"/>
  <c r="C24" i="5"/>
  <c r="C10" i="5" l="1"/>
  <c r="C11" i="5"/>
  <c r="C12" i="5"/>
  <c r="C13" i="5"/>
  <c r="C14" i="5"/>
  <c r="C15" i="5"/>
  <c r="C16" i="5"/>
  <c r="C17" i="5"/>
  <c r="C18" i="5"/>
  <c r="C19" i="5"/>
  <c r="C1" i="1"/>
  <c r="D1" i="7"/>
  <c r="D1" i="8"/>
  <c r="D1" i="9"/>
  <c r="D1" i="6"/>
  <c r="G15" i="6"/>
  <c r="G14" i="6"/>
  <c r="G13" i="6"/>
  <c r="G12" i="6"/>
  <c r="G11" i="6"/>
  <c r="G10" i="6"/>
  <c r="G9" i="6"/>
  <c r="G8" i="6"/>
  <c r="G7" i="6"/>
  <c r="G6" i="6"/>
  <c r="G3" i="5"/>
  <c r="G4" i="5"/>
  <c r="G5" i="5"/>
  <c r="G6" i="5"/>
  <c r="G10" i="5"/>
  <c r="G11" i="5"/>
  <c r="G12" i="5"/>
  <c r="G13" i="5"/>
  <c r="G14" i="5"/>
  <c r="G15" i="5"/>
  <c r="G16" i="5"/>
  <c r="G17" i="5"/>
  <c r="G18" i="5"/>
  <c r="G19" i="5"/>
  <c r="B1" i="3"/>
  <c r="B1" i="2"/>
  <c r="D6" i="3"/>
  <c r="D7" i="3"/>
  <c r="D8" i="3"/>
  <c r="D9" i="3"/>
  <c r="D10" i="3"/>
  <c r="D11" i="3"/>
  <c r="D12" i="3"/>
  <c r="D13" i="3"/>
  <c r="D14" i="3"/>
  <c r="D15" i="3"/>
  <c r="D16"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G25" i="1"/>
  <c r="G26" i="1"/>
  <c r="G27" i="1"/>
  <c r="G28" i="1"/>
  <c r="G29" i="1"/>
  <c r="G30" i="1"/>
  <c r="G31" i="1"/>
  <c r="G32" i="1"/>
  <c r="G33" i="1"/>
  <c r="G34" i="1"/>
  <c r="G35" i="1"/>
  <c r="G36" i="1"/>
  <c r="G37" i="1"/>
  <c r="G38" i="1"/>
  <c r="G39" i="1"/>
  <c r="G40" i="1"/>
  <c r="G41" i="1"/>
  <c r="G42" i="1"/>
  <c r="G43" i="1"/>
  <c r="G44" i="1"/>
  <c r="E6" i="2"/>
  <c r="E7" i="2"/>
  <c r="E8" i="2"/>
  <c r="E9" i="2"/>
  <c r="E10" i="2"/>
  <c r="E11" i="2"/>
  <c r="E12" i="2"/>
  <c r="E13" i="2"/>
  <c r="E14" i="2"/>
  <c r="E15" i="2"/>
  <c r="E16" i="2"/>
  <c r="E17" i="2"/>
  <c r="E18" i="2"/>
  <c r="E19" i="2"/>
  <c r="E20" i="2"/>
  <c r="E21" i="2"/>
  <c r="E22" i="2"/>
  <c r="E23" i="2"/>
  <c r="E24" i="2"/>
  <c r="E5" i="2"/>
  <c r="G6" i="1"/>
  <c r="G7" i="1"/>
  <c r="G8" i="1"/>
  <c r="G9" i="1"/>
  <c r="G10" i="1"/>
  <c r="G11" i="1"/>
  <c r="G12" i="1"/>
  <c r="G13" i="1"/>
  <c r="G14" i="1"/>
  <c r="G15" i="1"/>
  <c r="G16" i="1"/>
  <c r="G17" i="1"/>
  <c r="G18" i="1"/>
  <c r="G19" i="1"/>
  <c r="G20" i="1"/>
  <c r="G21" i="1"/>
  <c r="G22" i="1"/>
  <c r="G23" i="1"/>
  <c r="G24" i="1"/>
  <c r="G5" i="1"/>
  <c r="C22" i="5" l="1"/>
  <c r="C2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Duncan Haughey</author>
  </authors>
  <commentList>
    <comment ref="E5" authorId="0" shapeId="0" xr:uid="{ED5E7E47-59E7-49A4-BD57-073D4606E8DB}">
      <text>
        <r>
          <rPr>
            <b/>
            <sz val="9"/>
            <color indexed="81"/>
            <rFont val="Tahoma"/>
            <family val="2"/>
          </rPr>
          <t>Scoring:</t>
        </r>
        <r>
          <rPr>
            <sz val="9"/>
            <color indexed="81"/>
            <rFont val="Tahoma"/>
            <family val="2"/>
          </rPr>
          <t xml:space="preserve">
Low = 1
Medium = 3
High = 5</t>
        </r>
        <r>
          <rPr>
            <sz val="8"/>
            <color indexed="81"/>
            <rFont val="Tahoma"/>
            <family val="2"/>
          </rPr>
          <t xml:space="preserve">
</t>
        </r>
      </text>
    </comment>
    <comment ref="F5" authorId="0" shapeId="0" xr:uid="{3B5BFC0D-3C96-40B2-B620-3C7F80CD999A}">
      <text>
        <r>
          <rPr>
            <b/>
            <sz val="9"/>
            <color indexed="81"/>
            <rFont val="Tahoma"/>
            <family val="2"/>
          </rPr>
          <t xml:space="preserve">Scoring:
</t>
        </r>
        <r>
          <rPr>
            <sz val="9"/>
            <color indexed="81"/>
            <rFont val="Tahoma"/>
            <family val="2"/>
          </rPr>
          <t>Low = 1
Medium = 3
High =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Duncan Haughey</author>
  </authors>
  <commentList>
    <comment ref="F5" authorId="0" shapeId="0" xr:uid="{D14376CD-21B0-4E7E-99C7-239133603207}">
      <text>
        <r>
          <rPr>
            <b/>
            <sz val="9"/>
            <color indexed="81"/>
            <rFont val="Tahoma"/>
            <family val="2"/>
          </rPr>
          <t>Scoring:</t>
        </r>
        <r>
          <rPr>
            <sz val="9"/>
            <color indexed="81"/>
            <rFont val="Tahoma"/>
            <family val="2"/>
          </rPr>
          <t xml:space="preserve">
High
Medium
Low</t>
        </r>
        <r>
          <rPr>
            <sz val="8"/>
            <color indexed="81"/>
            <rFont val="Tahoma"/>
            <family val="2"/>
          </rPr>
          <t xml:space="preserve">
</t>
        </r>
      </text>
    </comment>
    <comment ref="G5" authorId="0" shapeId="0" xr:uid="{3FA899F7-ED20-4AE2-817B-1D7D6EFB6C81}">
      <text>
        <r>
          <rPr>
            <b/>
            <sz val="9"/>
            <color indexed="81"/>
            <rFont val="Tahoma"/>
            <family val="2"/>
          </rPr>
          <t>Scoring:</t>
        </r>
        <r>
          <rPr>
            <sz val="9"/>
            <color indexed="81"/>
            <rFont val="Tahoma"/>
            <family val="2"/>
          </rPr>
          <t xml:space="preserve">
High
Medium
Low</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Duncan Haughey</author>
  </authors>
  <commentList>
    <comment ref="H5" authorId="0" shapeId="0" xr:uid="{04A16EFA-55FA-4611-907A-4C6E53AE5449}">
      <text>
        <r>
          <rPr>
            <b/>
            <sz val="9"/>
            <color indexed="81"/>
            <rFont val="Tahoma"/>
            <family val="2"/>
          </rPr>
          <t>Scoring:</t>
        </r>
        <r>
          <rPr>
            <sz val="9"/>
            <color indexed="81"/>
            <rFont val="Tahoma"/>
            <family val="2"/>
          </rPr>
          <t xml:space="preserve">
High
Medium
Low
</t>
        </r>
      </text>
    </comment>
  </commentList>
</comments>
</file>

<file path=xl/sharedStrings.xml><?xml version="1.0" encoding="utf-8"?>
<sst xmlns="http://schemas.openxmlformats.org/spreadsheetml/2006/main" count="385" uniqueCount="239">
  <si>
    <t>Name</t>
  </si>
  <si>
    <t>R1</t>
  </si>
  <si>
    <t>R2</t>
  </si>
  <si>
    <t>A1</t>
  </si>
  <si>
    <t>A2</t>
  </si>
  <si>
    <t>Priority</t>
  </si>
  <si>
    <t>Type</t>
  </si>
  <si>
    <t>Comments</t>
  </si>
  <si>
    <t>NumberRelations</t>
  </si>
  <si>
    <t>Architecture Significant Requirements</t>
  </si>
  <si>
    <t>Use Case</t>
  </si>
  <si>
    <t>QAS</t>
  </si>
  <si>
    <t>UC</t>
  </si>
  <si>
    <t>TC</t>
  </si>
  <si>
    <t>BC</t>
  </si>
  <si>
    <t>Quality Atribute Scenario</t>
  </si>
  <si>
    <t>Technical Constraint</t>
  </si>
  <si>
    <t>Business Constraint</t>
  </si>
  <si>
    <t>ID</t>
  </si>
  <si>
    <t>Number</t>
  </si>
  <si>
    <t>Architecture elements</t>
  </si>
  <si>
    <t>COMP</t>
  </si>
  <si>
    <t>CONN</t>
  </si>
  <si>
    <t>Component</t>
  </si>
  <si>
    <t>Connector</t>
  </si>
  <si>
    <t>AC</t>
  </si>
  <si>
    <t>Actor</t>
  </si>
  <si>
    <t>Validation</t>
  </si>
  <si>
    <t>How (ASR-&gt;ARCH)</t>
  </si>
  <si>
    <t>Why (ARCH-&gt;ASR)</t>
  </si>
  <si>
    <t>Req ID</t>
  </si>
  <si>
    <t>Arch ID</t>
  </si>
  <si>
    <t>Req Name</t>
  </si>
  <si>
    <t>Arch Name</t>
  </si>
  <si>
    <t>Traceability</t>
  </si>
  <si>
    <t>PL</t>
  </si>
  <si>
    <t>Group Name</t>
  </si>
  <si>
    <t>Students</t>
  </si>
  <si>
    <t>Description</t>
  </si>
  <si>
    <t>High</t>
  </si>
  <si>
    <t>Medium</t>
  </si>
  <si>
    <t>Low</t>
  </si>
  <si>
    <t>Must</t>
  </si>
  <si>
    <t>Should</t>
  </si>
  <si>
    <t>Could</t>
  </si>
  <si>
    <t>Wont</t>
  </si>
  <si>
    <t xml:space="preserve">Project Name: </t>
  </si>
  <si>
    <t>Risk Register</t>
  </si>
  <si>
    <t>Last Reviewed: {date}</t>
  </si>
  <si>
    <t>Events that will have a negative impact on your project if they occur. Risk refers to the combined likelihood the event will occur and the impact on the project if it does occur. If the likelihood of the event happening and impact to the project are both high, you identify the event as a serious risk. The log includes a description of each risk, analysis and a plan to manage it.</t>
  </si>
  <si>
    <t>Date Raised</t>
  </si>
  <si>
    <t>Risk Description</t>
  </si>
  <si>
    <t>Likelihood</t>
  </si>
  <si>
    <t>Impact</t>
  </si>
  <si>
    <t>Severity</t>
  </si>
  <si>
    <t>Mitigation Plan</t>
  </si>
  <si>
    <t>Owner</t>
  </si>
  <si>
    <t>Status</t>
  </si>
  <si>
    <t>Date Closed</t>
  </si>
  <si>
    <t>Closed</t>
  </si>
  <si>
    <t>Open</t>
  </si>
  <si>
    <t>Assumptions</t>
  </si>
  <si>
    <t>Any factors that you are assuming to be in place that will contribute to the successful result of your project. The log includes details of the assumption, the reason it is assumed and the action needed to confirm whether the assumption is valid.</t>
  </si>
  <si>
    <t>Assumption Description</t>
  </si>
  <si>
    <t>Reason for Assumption</t>
  </si>
  <si>
    <t>Action to Validate</t>
  </si>
  <si>
    <t>Impact if Assumption Incorrect</t>
  </si>
  <si>
    <t>1-No action, 2 clarify…</t>
  </si>
  <si>
    <t>Issues Register</t>
  </si>
  <si>
    <t>Something that is going wrong on your project and needs to be managed. Failure to manage issues may result in a poor delivery or even failure. The log includes a description of each issue, the impact it is having, its seriousness and actions needed to contain and remove it.</t>
  </si>
  <si>
    <t>Issue Description</t>
  </si>
  <si>
    <t>Impact Description</t>
  </si>
  <si>
    <t>As a result of exp 1, it is not possible to communicate with X using Y</t>
  </si>
  <si>
    <t>It is imposssible as documented...</t>
  </si>
  <si>
    <t>3 - Req manager will ask the client further clarification of "UC NNN - comunicate with X"</t>
  </si>
  <si>
    <t>Moved to Assump:1</t>
  </si>
  <si>
    <t>Dependencies</t>
  </si>
  <si>
    <t>Any event or work that are either dependent on the result of your project, or your project will depend on. The log captures who you are dependent on, what they should deliver and when. It may also include who is dependent on you.</t>
  </si>
  <si>
    <t>Dependency Description</t>
  </si>
  <si>
    <t>Location</t>
  </si>
  <si>
    <t>Deliverables</t>
  </si>
  <si>
    <t>Delivery Date</t>
  </si>
  <si>
    <t>Importance</t>
  </si>
  <si>
    <t>{date}</t>
  </si>
  <si>
    <t>Last Reviewed:</t>
  </si>
  <si>
    <t>Risks</t>
  </si>
  <si>
    <t>Tipe</t>
  </si>
  <si>
    <t>Issues</t>
  </si>
  <si>
    <t>Ativar Corredor de Iluminação</t>
  </si>
  <si>
    <t>Ativar uma iluminação suave e indireta num percurso predefinido assim que o Idoso abandona o leito durante a noite.</t>
  </si>
  <si>
    <t>Ativar Despertar</t>
  </si>
  <si>
    <t>Simular o nascer do sol para proporcionar um despertar natural.</t>
  </si>
  <si>
    <t>R3</t>
  </si>
  <si>
    <t>Emitir Lembrete Visual</t>
  </si>
  <si>
    <t>Ativar sinalética visual discreta em horário programado para apoiar o Idoso nas suas rotinas.</t>
  </si>
  <si>
    <t>R4</t>
  </si>
  <si>
    <t>Gerir Clima</t>
  </si>
  <si>
    <t>Monitorizar proativamente a temperatura ambiente para manter o conforto e alertar o Cuidador em caso de risco.</t>
  </si>
  <si>
    <t xml:space="preserve">R5 </t>
  </si>
  <si>
    <t>Notificar Cuidador sobre Anomalia Comportamental</t>
  </si>
  <si>
    <t>Machine learning permite identificar um desvio significativo no perfil comportamental de referência do Idoso (ex: inatividade) e notifica o Cuidador.</t>
  </si>
  <si>
    <t>R6</t>
  </si>
  <si>
    <t>Gerir Automações (Interface do Idoso)</t>
  </si>
  <si>
    <t>O Idoso ativa/desativa funcionalidades proativas numa interface simplificada.</t>
  </si>
  <si>
    <t>R7</t>
  </si>
  <si>
    <t>Consultar Painel de Tranquilidade  (Interface do Cuidador)</t>
  </si>
  <si>
    <t>O Cuidador verifica o estado geral do Idoso.</t>
  </si>
  <si>
    <t>R8</t>
  </si>
  <si>
    <t>Autenticar Cuidador</t>
  </si>
  <si>
    <t>O Cuidador autentica-se para aceder ao painel  (R7) e configurar lembretes (R9).</t>
  </si>
  <si>
    <t>R9</t>
  </si>
  <si>
    <t>Configurar Lembretes (Interface do Cuidador)</t>
  </si>
  <si>
    <t>O Cuidador agenda lembretes visuais para o Idoso (executados em R3)</t>
  </si>
  <si>
    <t>R10</t>
  </si>
  <si>
    <t>R11</t>
  </si>
  <si>
    <t>Disponibilidade do sistema - Availability</t>
  </si>
  <si>
    <t>Proporção de tempo operacional, especialmente nos serviços de monitorização.</t>
  </si>
  <si>
    <t>R12</t>
  </si>
  <si>
    <t>Desempenho do sistema - Performance</t>
  </si>
  <si>
    <t>Capacidade do sistema de responder a eventos em tempo aceitável.</t>
  </si>
  <si>
    <t>R13</t>
  </si>
  <si>
    <t>Integração do Home Assistant - Integrability</t>
  </si>
  <si>
    <t>Capacidade do sistema ligar-se e trocar dados com sistemas externos, neste caso, o Home Assistant.</t>
  </si>
  <si>
    <t>R14</t>
  </si>
  <si>
    <t>Interação com o sistema - Usability</t>
  </si>
  <si>
    <t>Facilidade com que os atores (Idoso e Cuidador) interagem com o sistema.</t>
  </si>
  <si>
    <t>R15</t>
  </si>
  <si>
    <t>Segurança e proteção dos dados - Security</t>
  </si>
  <si>
    <t>Capacidade de proteger os dados sensíveis do Idoso.</t>
  </si>
  <si>
    <t>R16</t>
  </si>
  <si>
    <t>Sistema testável - Testability</t>
  </si>
  <si>
    <t>Facilidade com que o sistema pode ser testado para validar o seu funcionamento.</t>
  </si>
  <si>
    <t>R17</t>
  </si>
  <si>
    <t>Dependência da plataforma: Home Assistant</t>
  </si>
  <si>
    <t>Utilizar APIs padrão do HA e manter compatibilidade com atualizações, testando e ajustando a integração quando necessário.</t>
  </si>
  <si>
    <t>R18</t>
  </si>
  <si>
    <t>Restrição de Hardware — Proibição do uso de sensores intrusivos</t>
  </si>
  <si>
    <t>Preservar a privacidade do Idoso, impedindo a recolha de áudio e vídeo.</t>
  </si>
  <si>
    <t>R19</t>
  </si>
  <si>
    <t>Restrição de Infraestrutura</t>
  </si>
  <si>
    <t>Operar localmente num dispositivo de baixo custo, com conectividade local e à Internet, recorrendo à nuvem apenas quando necessário (ML, alertas)</t>
  </si>
  <si>
    <t>R20</t>
  </si>
  <si>
    <t>Diminuição de Riscos Financeiros</t>
  </si>
  <si>
    <t xml:space="preserve">Prevenir prejuízos financeiros por incidentes de segurança e incumprimento legal, assegurando o cumprimento da legislação. </t>
  </si>
  <si>
    <t>R21</t>
  </si>
  <si>
    <t>Baixo Custo de Implementação</t>
  </si>
  <si>
    <t>Usar hardware de baixo custo (≤150 € por instalação), manter custos operacionais reduzidos (≤10 €/mês/utilizador) e basear-se em tecnologias open-source.</t>
  </si>
  <si>
    <t>R22</t>
  </si>
  <si>
    <t>Idoso</t>
  </si>
  <si>
    <t>Utilizador principal que interage com o sistema para receber alertas, lembretes e conforto.</t>
  </si>
  <si>
    <t>R23</t>
  </si>
  <si>
    <t>Cuidador</t>
  </si>
  <si>
    <t>Utilizador que monitoriza e gerencia o sistema, garantindo segurança e bem-estar do Idoso.</t>
  </si>
  <si>
    <t>R24</t>
  </si>
  <si>
    <t>Sistema</t>
  </si>
  <si>
    <t>Controla o ambiente da residência e supervisiona o conforto, bem-estar e segurança do Idoso, informando o Cuidador quando necessário.</t>
  </si>
  <si>
    <t>PL2 Guardian</t>
  </si>
  <si>
    <t>Eduardo Marques</t>
  </si>
  <si>
    <t>João Cardoso</t>
  </si>
  <si>
    <t>Tiago Marques</t>
  </si>
  <si>
    <t>R25</t>
  </si>
  <si>
    <t>Associar Cuidador ao Idoso</t>
  </si>
  <si>
    <t>Guardian</t>
  </si>
  <si>
    <t>O sistema permite que o Cuidador se associe a um Idoso.</t>
  </si>
  <si>
    <t xml:space="preserve">Falhas na Deteção de Anomalias - O modelo de machine learning pode gerar falsos positivos (alertas desne-
cessários) ou falsos negativos (não detetar situações críticas), afetando a confiança
do sistema. </t>
  </si>
  <si>
    <t>Exposição de Dados Sensíveis - Descrição: Dados comportamentais do Idoso podem ser expostos através de vulne-
rabilidades na API ou configurações inadequadas de permissões.</t>
  </si>
  <si>
    <t>Período de aprendizagem inicial obrigatório de pelo menos 1 semana</t>
  </si>
  <si>
    <t>Implementação de mecanismos de fallback locais para funcionalidades
críticas</t>
  </si>
  <si>
    <t>mplementação de autenticação robusta (UC-08), controlo de acesso
baseado em roles (RBAC), protocolo criptográfico que garante a segurança das
comunicações (TLS)</t>
  </si>
  <si>
    <t>Segmentação de rede</t>
  </si>
  <si>
    <t>Provedor da Serviços Cloud</t>
  </si>
  <si>
    <t>Internet</t>
  </si>
  <si>
    <t>Serviço Cloud de ML</t>
  </si>
  <si>
    <t>Serviço Cloud de envio de notificações</t>
  </si>
  <si>
    <t>Sensores IoT</t>
  </si>
  <si>
    <t>Home Assistant (App)</t>
  </si>
  <si>
    <t>Hardware (Raspberry Pi)</t>
  </si>
  <si>
    <t>HIGH</t>
  </si>
  <si>
    <t>Last Reviewed: 03/01/2026</t>
  </si>
  <si>
    <t>Persistence Plugin</t>
  </si>
  <si>
    <t>Safety &amp; Climate Plugin</t>
  </si>
  <si>
    <t>ML Plugin</t>
  </si>
  <si>
    <t>HA Integration Plugin</t>
  </si>
  <si>
    <t>API Gateway Plugin</t>
  </si>
  <si>
    <t>Schedular Service</t>
  </si>
  <si>
    <t>Event Bus</t>
  </si>
  <si>
    <t>Plugin Manager</t>
  </si>
  <si>
    <t>Caregiver Interface</t>
  </si>
  <si>
    <t>Elderly Interface</t>
  </si>
  <si>
    <t>A3</t>
  </si>
  <si>
    <t>A4</t>
  </si>
  <si>
    <t>A5</t>
  </si>
  <si>
    <t>A6</t>
  </si>
  <si>
    <t>A7</t>
  </si>
  <si>
    <t>A8</t>
  </si>
  <si>
    <t>A9</t>
  </si>
  <si>
    <t>A10</t>
  </si>
  <si>
    <t>Falha do Plugin Manager - Se este componente falhar, o sistema perde a capacidade de detetar e reiniciar plugins
falhados automaticamente, comprometendo a fiabilidade global</t>
  </si>
  <si>
    <t>Ataques à Infraestrutura Local -  Dispositivos IoT e o hub local podem ser comprometidos através da rede
doméstica, permitindo acesso não autorizado ou manipulação de automações.</t>
  </si>
  <si>
    <t>Indisponibilidade de Serviços Cloud - falhas em serviços externos (notificações push, processamento de ML
avançado) podem comprometer funcionalidades críticas como alertas ao Cuidador.</t>
  </si>
  <si>
    <t>Implementação de um watchdog externo ao nível do sistema operativo. Manter o Plugin Manager com código minimalista e altamente testado</t>
  </si>
  <si>
    <t>Capacidade do sistema de operar sem falhar.</t>
  </si>
  <si>
    <t>Confiabilidade do Sistema - Realiability</t>
  </si>
  <si>
    <t>Dependência de acesso à Internet</t>
  </si>
  <si>
    <t>Necessidade de aceder à rede para enviar avisos ao cuidador.</t>
  </si>
  <si>
    <t>Plugin de acesso à base de dados</t>
  </si>
  <si>
    <t>Decide as me</t>
  </si>
  <si>
    <t>Gerneciador do Machine Learning do Sistema</t>
  </si>
  <si>
    <t>Ponte parao Home Assistant</t>
  </si>
  <si>
    <t>Envia e recebe dados das interface dos utilizadores</t>
  </si>
  <si>
    <t>Service para agendar horários nas funcionalidades que envolvem tempo</t>
  </si>
  <si>
    <t>Componente principal de publish-subscribe</t>
  </si>
  <si>
    <t>Monitoriza cosntantemente todos os plugins</t>
  </si>
  <si>
    <t>Interface do cuidador</t>
  </si>
  <si>
    <t>Interface do idoso</t>
  </si>
  <si>
    <t>Subscreve o evento "movimento" no Event Bus e publica o comando "ligar_luz" de forma assíncrona.</t>
  </si>
  <si>
    <t>Centraliza a lógica de decisão crítica num plugin isolado, garantindo resposta rápida (&lt;500ms) sem bloqueios.</t>
  </si>
  <si>
    <t>Recebe triggers temporais do Scheduler Service e ajusta gradualmente a intensidade da luz via comandos para o HA Plugin.</t>
  </si>
  <si>
    <t>Permite a execução de automações temporais complexas sem bloquear o loop principal do sistema.</t>
  </si>
  <si>
    <t>Monitoriza eventos de temperatura e atua sobre termostatos quando os limiares configurados no Config Service são ultrapassados.</t>
  </si>
  <si>
    <t>Garante que situações de vida ou morte têm um canal de notificação prioritário e imediato</t>
  </si>
  <si>
    <t>Separa a análise pesada (ML) da atuação crítica (Safety), garantindo que o processamento de dados não atrasa reações urgentes.</t>
  </si>
  <si>
    <t>Analisa padrões de longo prazo (ex: inatividade) e gera alertas assíncronos para a App do Cuidador.</t>
  </si>
  <si>
    <t>Isola o sistema de alterações externas (Breaking Changes) no HA, protegendo o núcleo de instabilidade.</t>
  </si>
  <si>
    <t>Atua como um Wrapper/Adapter da API WebSocket do Home Assistant, normalizando eventos para o formato interno.</t>
  </si>
  <si>
    <t>Implementa autenticação JWT e encriptação TLS 1.3 em todos os endpoints expostos às interfaces móveis.</t>
  </si>
  <si>
    <t>Garante que apenas utilizadores autorizados acedem aos dados e que a comunicação na rede local é segura.</t>
  </si>
  <si>
    <t>Assegura que múltiplos componentes (Safety, ML, Log) processam o mesmo evento em paralelo, minimizando a latência global.</t>
  </si>
  <si>
    <t>Implementa um broker de mensagens Pub/Sub (MQTT/In-memory) que permite comunicação não-bloqueante entre componentes.</t>
  </si>
  <si>
    <t>Monitoriza (Watchdog) o estado dos processos dos plugins e reinicia-os automaticamente em caso de falha (Crash).</t>
  </si>
  <si>
    <t>Garante a recuperação automática (Self-Healing) e isolamento de falhas, impedindo que um erro num plugin derrube o sistema.</t>
  </si>
  <si>
    <t>Permite a configuração remota do sistema sem necessidade de acesso físico ao dispositivo, melhorando a usabilidade.</t>
  </si>
  <si>
    <t>Apresenta um formulário intuitivo na App Móvel que envia configurações via API segura para o Core.</t>
  </si>
  <si>
    <t>Reduz a carga cognitiva para o utilizador idoso, garantindo acessibilidade e facilidade de uso (Usability).</t>
  </si>
  <si>
    <t>Disponibiliza uma PWA simplificada com botões grandes e alto contraste para controlo direto das funcionalidades.</t>
  </si>
  <si>
    <t>Grava todos os eventos críticos na base de dados local (SQLite) de forma encriptada/segura.</t>
  </si>
  <si>
    <t>Garante a privacidade (Data Minimization) mantendo dados sensíveis na Edge e assegura auditoria futura.</t>
  </si>
  <si>
    <t>Mantém o conforto térmico de forma autónoma e resiliente.</t>
  </si>
  <si>
    <t>Deteta situações de risco imediato e envia alertas críticos via API Gateway.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</si>
</sst>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ont>
    <font>
      <sz val="11"/>
      <color theme="1"/>
      <name val="Calibri"/>
      <family val="2"/>
    </font>
    <font>
      <sz val="11"/>
      <color theme="1"/>
      <name val="Calibri"/>
      <family val="2"/>
    </font>
    <font>
      <b/>
      <sz val="11"/>
      <color theme="1"/>
      <name val="Calibri"/>
      <family val="2"/>
    </font>
    <font>
      <i/>
      <sz val="11"/>
      <color theme="1"/>
      <name val="Calibri"/>
      <family val="2"/>
    </font>
    <font>
      <b/>
      <sz val="11"/>
      <color theme="1"/>
      <name val="Calibri"/>
      <family val="2"/>
      <scheme val="minor"/>
    </font>
    <font>
      <b/>
      <sz val="14"/>
      <color theme="1"/>
      <name val="Calibri"/>
      <family val="2"/>
      <scheme val="minor"/>
    </font>
    <font>
      <b/>
      <sz val="12"/>
      <color theme="1"/>
      <name val="Calibri"/>
      <family val="2"/>
      <scheme val="minor"/>
    </font>
    <font>
      <sz val="11"/>
      <color theme="1" tint="0.499984740745262"/>
      <name val="Calibri"/>
      <family val="2"/>
      <scheme val="minor"/>
    </font>
    <font>
      <b/>
      <sz val="9"/>
      <color indexed="81"/>
      <name val="Tahoma"/>
      <family val="2"/>
    </font>
    <font>
      <sz val="9"/>
      <color indexed="81"/>
      <name val="Tahoma"/>
      <family val="2"/>
    </font>
    <font>
      <sz val="8"/>
      <color indexed="81"/>
      <name val="Tahoma"/>
      <family val="2"/>
    </font>
    <font>
      <sz val="11"/>
      <color theme="1" tint="0.499984740745262"/>
      <name val="Calibri"/>
      <family val="2"/>
    </font>
    <font>
      <sz val="11"/>
      <color theme="1" tint="0.499984740745262"/>
      <name val="Calibri"/>
      <family val="2"/>
      <scheme val="major"/>
    </font>
    <font>
      <sz val="8"/>
      <name val="Calibri"/>
    </font>
    <font>
      <u/>
      <sz val="11"/>
      <color theme="1"/>
      <name val="Calibri"/>
      <family val="2"/>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s>
  <cellStyleXfs count="2">
    <xf numFmtId="0" fontId="0" fillId="0" borderId="0"/>
    <xf numFmtId="0" fontId="1" fillId="0" borderId="0"/>
  </cellStyleXfs>
  <cellXfs count="41">
    <xf numFmtId="0" fontId="0" fillId="0" borderId="0" xfId="0"/>
    <xf numFmtId="0" fontId="1" fillId="0" borderId="0" xfId="0" applyFont="1"/>
    <xf numFmtId="0" fontId="2" fillId="0" borderId="0" xfId="0" applyFont="1"/>
    <xf numFmtId="0" fontId="1" fillId="0" borderId="0" xfId="0" applyFont="1" applyProtection="1">
      <protection locked="0"/>
    </xf>
    <xf numFmtId="0" fontId="0" fillId="0" borderId="0" xfId="0" applyProtection="1">
      <protection locked="0"/>
    </xf>
    <xf numFmtId="0" fontId="2" fillId="0" borderId="0" xfId="0" applyFont="1" applyProtection="1">
      <protection locked="0"/>
    </xf>
    <xf numFmtId="0" fontId="4" fillId="0" borderId="0" xfId="0" applyFont="1"/>
    <xf numFmtId="0" fontId="4" fillId="0" borderId="0" xfId="0" applyFont="1" applyAlignment="1">
      <alignment horizontal="left"/>
    </xf>
    <xf numFmtId="1" fontId="0" fillId="0" borderId="0" xfId="0" applyNumberFormat="1" applyAlignment="1">
      <alignment horizontal="center"/>
    </xf>
    <xf numFmtId="0" fontId="0" fillId="0" borderId="0" xfId="0" applyAlignment="1">
      <alignment wrapText="1"/>
    </xf>
    <xf numFmtId="0" fontId="0" fillId="0" borderId="0" xfId="0" applyAlignment="1">
      <alignment horizontal="center"/>
    </xf>
    <xf numFmtId="14" fontId="0" fillId="0" borderId="0" xfId="0" applyNumberFormat="1" applyAlignment="1">
      <alignment horizontal="center"/>
    </xf>
    <xf numFmtId="1" fontId="5" fillId="0" borderId="2" xfId="0" applyNumberFormat="1" applyFont="1" applyBorder="1" applyAlignment="1">
      <alignment horizontal="right"/>
    </xf>
    <xf numFmtId="14" fontId="5" fillId="0" borderId="2" xfId="0" applyNumberFormat="1" applyFont="1" applyBorder="1" applyAlignment="1">
      <alignment horizontal="center"/>
    </xf>
    <xf numFmtId="0" fontId="5" fillId="0" borderId="2" xfId="0" applyFont="1" applyBorder="1" applyAlignment="1">
      <alignment wrapText="1"/>
    </xf>
    <xf numFmtId="1" fontId="5" fillId="0" borderId="2" xfId="0" applyNumberFormat="1" applyFont="1" applyBorder="1" applyAlignment="1">
      <alignment horizontal="center" textRotation="90"/>
    </xf>
    <xf numFmtId="0" fontId="5" fillId="0" borderId="2" xfId="0" applyFont="1" applyBorder="1" applyAlignment="1">
      <alignment horizontal="center"/>
    </xf>
    <xf numFmtId="1" fontId="0" fillId="0" borderId="0" xfId="0" applyNumberFormat="1" applyAlignment="1">
      <alignment horizontal="right"/>
    </xf>
    <xf numFmtId="0" fontId="0" fillId="0" borderId="0" xfId="0" applyAlignment="1">
      <alignment vertical="top" wrapText="1"/>
    </xf>
    <xf numFmtId="0" fontId="6" fillId="0" borderId="0" xfId="0" applyFont="1"/>
    <xf numFmtId="0" fontId="7" fillId="0" borderId="0" xfId="0" applyFont="1"/>
    <xf numFmtId="1" fontId="0" fillId="0" borderId="0" xfId="0" applyNumberFormat="1"/>
    <xf numFmtId="0" fontId="0" fillId="0" borderId="0" xfId="0" applyAlignment="1">
      <alignment horizontal="center" wrapText="1"/>
    </xf>
    <xf numFmtId="0" fontId="0" fillId="0" borderId="0" xfId="0" applyAlignment="1">
      <alignment horizontal="left" wrapText="1"/>
    </xf>
    <xf numFmtId="0" fontId="5" fillId="0" borderId="2" xfId="0" applyFont="1" applyBorder="1" applyAlignment="1">
      <alignment horizontal="center" wrapText="1"/>
    </xf>
    <xf numFmtId="0" fontId="5" fillId="0" borderId="2" xfId="0" applyFont="1" applyBorder="1" applyAlignment="1">
      <alignment horizontal="left" wrapText="1"/>
    </xf>
    <xf numFmtId="0" fontId="12" fillId="0" borderId="0" xfId="0" applyFont="1" applyProtection="1">
      <protection locked="0"/>
    </xf>
    <xf numFmtId="0" fontId="12" fillId="0" borderId="0" xfId="0" applyFont="1"/>
    <xf numFmtId="0" fontId="12" fillId="0" borderId="0" xfId="1" applyFont="1" applyProtection="1">
      <protection locked="0"/>
    </xf>
    <xf numFmtId="0" fontId="13" fillId="0" borderId="0" xfId="0" applyFont="1"/>
    <xf numFmtId="14" fontId="7" fillId="0" borderId="0" xfId="0" applyNumberFormat="1" applyFont="1"/>
    <xf numFmtId="0" fontId="13" fillId="0" borderId="0" xfId="0" applyFont="1" applyProtection="1">
      <protection locked="0"/>
    </xf>
    <xf numFmtId="0" fontId="3" fillId="0" borderId="0" xfId="0" applyFont="1" applyAlignment="1">
      <alignment horizontal="center"/>
    </xf>
    <xf numFmtId="0" fontId="8" fillId="0" borderId="0" xfId="0" applyFont="1" applyAlignment="1">
      <alignment vertical="top" wrapText="1"/>
    </xf>
    <xf numFmtId="0" fontId="6" fillId="0" borderId="0" xfId="0" applyFont="1"/>
    <xf numFmtId="0" fontId="7" fillId="0" borderId="0" xfId="0" applyFont="1"/>
    <xf numFmtId="0" fontId="8" fillId="0" borderId="0" xfId="0" applyFont="1"/>
    <xf numFmtId="0" fontId="3" fillId="2" borderId="1" xfId="0" applyFont="1" applyFill="1" applyBorder="1" applyAlignment="1">
      <alignment horizontal="center"/>
    </xf>
    <xf numFmtId="0" fontId="0" fillId="0" borderId="0" xfId="0" applyNumberFormat="1"/>
    <xf numFmtId="0" fontId="0" fillId="0" borderId="0" xfId="0" applyNumberFormat="1" applyProtection="1"/>
    <xf numFmtId="0" fontId="15" fillId="0" borderId="0" xfId="0" applyFont="1" applyProtection="1">
      <protection locked="0"/>
    </xf>
  </cellXfs>
  <cellStyles count="2">
    <cellStyle name="Normal" xfId="0" builtinId="0"/>
    <cellStyle name="Normal 2" xfId="1" xr:uid="{FC1EE3A6-5DCB-461D-8C4A-5126119B2D71}"/>
  </cellStyles>
  <dxfs count="82">
    <dxf>
      <fill>
        <patternFill>
          <bgColor rgb="FF00B050"/>
        </patternFill>
      </fill>
    </dxf>
    <dxf>
      <fill>
        <patternFill>
          <bgColor rgb="FFFFC000"/>
        </patternFill>
      </fill>
    </dxf>
    <dxf>
      <font>
        <b/>
        <i val="0"/>
        <color theme="0"/>
      </font>
      <fill>
        <patternFill>
          <bgColor rgb="FFFF0000"/>
        </patternFill>
      </fill>
    </dxf>
    <dxf>
      <font>
        <color theme="0"/>
      </font>
      <fill>
        <patternFill>
          <bgColor rgb="FFFF0000"/>
        </patternFill>
      </fill>
    </dxf>
    <dxf>
      <fill>
        <patternFill>
          <bgColor rgb="FF00B050"/>
        </patternFill>
      </fill>
    </dxf>
    <dxf>
      <fill>
        <patternFill>
          <bgColor rgb="FFFFC000"/>
        </patternFill>
      </fill>
    </dxf>
    <dxf>
      <font>
        <b/>
        <i val="0"/>
        <color theme="0"/>
      </font>
      <fill>
        <patternFill>
          <bgColor rgb="FFFF0000"/>
        </patternFill>
      </fill>
    </dxf>
    <dxf>
      <fill>
        <patternFill>
          <bgColor rgb="FF00B050"/>
        </patternFill>
      </fill>
    </dxf>
    <dxf>
      <fill>
        <patternFill>
          <bgColor rgb="FFFFC000"/>
        </patternFill>
      </fill>
    </dxf>
    <dxf>
      <font>
        <b/>
        <i val="0"/>
        <color theme="0"/>
      </font>
      <fill>
        <patternFill>
          <bgColor rgb="FFFF0000"/>
        </patternFill>
      </fill>
    </dxf>
    <dxf>
      <fill>
        <patternFill>
          <bgColor rgb="FFFFC000"/>
        </patternFill>
      </fill>
    </dxf>
    <dxf>
      <fill>
        <patternFill>
          <bgColor rgb="FF00B050"/>
        </patternFill>
      </fill>
    </dxf>
    <dxf>
      <font>
        <b/>
        <i val="0"/>
        <color theme="0"/>
      </font>
      <fill>
        <patternFill>
          <bgColor rgb="FFFF0000"/>
        </patternFill>
      </fill>
    </dxf>
    <dxf>
      <fill>
        <patternFill>
          <bgColor rgb="FFFFC000"/>
        </patternFill>
      </fill>
    </dxf>
    <dxf>
      <fill>
        <patternFill>
          <bgColor rgb="FF00B050"/>
        </patternFill>
      </fill>
    </dxf>
    <dxf>
      <protection locked="0" hidden="0"/>
    </dxf>
    <dxf>
      <protection locked="0" hidden="0"/>
    </dxf>
    <dxf>
      <protection locked="0" hidden="0"/>
    </dxf>
    <dxf>
      <numFmt numFmtId="0" formatCode="General"/>
      <protection locked="1" hidden="0"/>
    </dxf>
    <dxf>
      <protection locked="0" hidden="0"/>
    </dxf>
    <dxf>
      <numFmt numFmtId="0" formatCode="General"/>
    </dxf>
    <dxf>
      <protection locked="0" hidden="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left"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center" vertical="bottom" textRotation="0" wrapText="0" indent="0" justifyLastLine="0" shrinkToFit="0" readingOrder="0"/>
    </dxf>
    <dxf>
      <numFmt numFmtId="1" formatCode="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center" vertical="bottom" textRotation="0" wrapText="0" indent="0" justifyLastLine="0" shrinkToFit="0" readingOrder="0"/>
    </dxf>
    <dxf>
      <numFmt numFmtId="1" formatCode="0"/>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left"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center" vertical="bottom" textRotation="0" wrapText="0" indent="0" justifyLastLine="0" shrinkToFit="0" readingOrder="0"/>
    </dxf>
    <dxf>
      <numFmt numFmtId="1" formatCode="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general" vertical="bottom" textRotation="0" wrapText="1" indent="0" justifyLastLine="0" shrinkToFit="0" readingOrder="0"/>
    </dxf>
    <dxf>
      <numFmt numFmtId="19" formatCode="dd/mm/yyyy"/>
      <alignment horizontal="center" vertical="bottom" textRotation="0" wrapText="0" indent="0" justifyLastLine="0" shrinkToFit="0" readingOrder="0"/>
    </dxf>
    <dxf>
      <numFmt numFmtId="1" formatCode="0"/>
      <alignment horizontal="right" vertical="bottom" textRotation="0" wrapText="0" indent="0" justifyLastLine="0" shrinkToFit="0" readingOrder="0"/>
    </dxf>
    <dxf>
      <border outline="0">
        <bottom style="thin">
          <color auto="1"/>
        </bottom>
      </border>
    </dxf>
    <dxf>
      <numFmt numFmtId="0" formatCode="General"/>
    </dxf>
    <dxf>
      <numFmt numFmtId="0" formatCode="General"/>
    </dxf>
    <dxf>
      <protection locked="0" hidden="0"/>
    </dxf>
    <dxf>
      <protection locked="0" hidden="0"/>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0"/>
    </dxf>
    <dxf>
      <numFmt numFmtId="0" formatCode="General"/>
    </dxf>
    <dxf>
      <protection locked="0" hidden="0"/>
    </dxf>
    <dxf>
      <protection locked="0" hidden="0"/>
    </dxf>
    <dxf>
      <numFmt numFmtId="0" formatCode="General"/>
    </dxf>
    <dxf>
      <protection locked="0" hidden="0"/>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1e4e2f642999e19/AS-ASS/praticas/raid-log-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D"/>
      <sheetName val="Risks"/>
      <sheetName val="Assumptions"/>
      <sheetName val="Issues"/>
      <sheetName val="Dependencies"/>
      <sheetName val="Data"/>
    </sheetNames>
    <sheetDataSet>
      <sheetData sheetId="0"/>
      <sheetData sheetId="1"/>
      <sheetData sheetId="2"/>
      <sheetData sheetId="3"/>
      <sheetData sheetId="4"/>
      <sheetData sheetId="5">
        <row r="2">
          <cell r="A2" t="str">
            <v>Open</v>
          </cell>
          <cell r="B2" t="str">
            <v>High</v>
          </cell>
          <cell r="C2" t="str">
            <v>High</v>
          </cell>
          <cell r="D2" t="str">
            <v>High</v>
          </cell>
          <cell r="E2" t="str">
            <v>Internal</v>
          </cell>
        </row>
        <row r="3">
          <cell r="A3" t="str">
            <v>Closed</v>
          </cell>
          <cell r="B3" t="str">
            <v>Medium</v>
          </cell>
          <cell r="C3" t="str">
            <v>Medium</v>
          </cell>
          <cell r="D3" t="str">
            <v>Medium</v>
          </cell>
          <cell r="E3" t="str">
            <v>External</v>
          </cell>
        </row>
        <row r="4">
          <cell r="B4" t="str">
            <v>Low</v>
          </cell>
          <cell r="C4" t="str">
            <v>Low</v>
          </cell>
          <cell r="D4" t="str">
            <v>Low</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4C3AC6-2A06-4A1A-927D-270D4D03F10A}" name="Table3" displayName="Table3" ref="A9:C19" totalsRowShown="0">
  <autoFilter ref="A9:C19" xr:uid="{5A4C3AC6-2A06-4A1A-927D-270D4D03F10A}">
    <filterColumn colId="0" hiddenButton="1"/>
    <filterColumn colId="1" hiddenButton="1"/>
    <filterColumn colId="2" hiddenButton="1"/>
  </autoFilter>
  <tableColumns count="3">
    <tableColumn id="1" xr3:uid="{9C1568AC-2748-4A01-A886-5C681ED257A9}" name="ID" dataDxfId="81"/>
    <tableColumn id="2" xr3:uid="{2D592CE9-0B48-443A-913F-A24A1CA5735D}" name="Type" dataDxfId="80"/>
    <tableColumn id="3" xr3:uid="{03B76D6E-0DED-4D8E-8CF8-7D90504D7A3B}" name="Number" dataDxfId="79">
      <calculatedColumnFormula>COUNTIF(ASR[Type],Table3[[#This Row],[ID]])</calculatedColumnFormula>
    </tableColumn>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4F3888-C96D-45C7-881B-CAFB42C893E7}" name="Table4" displayName="Table4" ref="E9:G19" totalsRowShown="0">
  <autoFilter ref="E9:G19" xr:uid="{374F3888-C96D-45C7-881B-CAFB42C893E7}">
    <filterColumn colId="0" hiddenButton="1"/>
    <filterColumn colId="1" hiddenButton="1"/>
    <filterColumn colId="2" hiddenButton="1"/>
  </autoFilter>
  <tableColumns count="3">
    <tableColumn id="1" xr3:uid="{9FD50B75-F718-42B7-B29B-25D2A60DC07B}" name="ID" dataDxfId="78"/>
    <tableColumn id="2" xr3:uid="{DA55FD50-B8A2-4219-857F-471AD201BFB3}" name="Type" dataDxfId="77"/>
    <tableColumn id="3" xr3:uid="{0CE13718-6CF1-4C49-84FF-1CEF606C737E}" name="Number" dataDxfId="76">
      <calculatedColumnFormula>COUNTIF(Arch[Type],Table4[[#This Row],[ID]])</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DE7D04-73C7-4C31-8334-C3064F7F5C74}" name="Table9" displayName="Table9" ref="E2:G6" totalsRowShown="0" headerRowDxfId="75">
  <autoFilter ref="E2:G6" xr:uid="{D3DE7D04-73C7-4C31-8334-C3064F7F5C74}"/>
  <tableColumns count="3">
    <tableColumn id="1" xr3:uid="{1E5F89D9-5A11-4416-A387-A960CAA78935}" name="Name" dataDxfId="74"/>
    <tableColumn id="2" xr3:uid="{BF13E48D-502E-487A-82B2-096B046D029A}" name="Description" dataDxfId="73"/>
    <tableColumn id="3" xr3:uid="{2E2B07F9-0FBF-4E85-981C-6CC71FE627E9}" name="Number" dataDxfId="72">
      <calculatedColumnFormula>COUNTIF(ASR[Priority],Table9[[#This Row],[Name]])</calculatedColumnFormula>
    </tableColumn>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110A4E-B4A7-48D1-B25D-89E26E8DB863}" name="Table11" displayName="Table11" ref="A21:C29" totalsRowShown="0">
  <autoFilter ref="A21:C29" xr:uid="{3A110A4E-B4A7-48D1-B25D-89E26E8DB863}">
    <filterColumn colId="0" hiddenButton="1"/>
    <filterColumn colId="1" hiddenButton="1"/>
    <filterColumn colId="2" hiddenButton="1"/>
  </autoFilter>
  <tableColumns count="3">
    <tableColumn id="1" xr3:uid="{6CD6E489-F45A-4E42-851F-9757F83AD0E0}" name="Tipe"/>
    <tableColumn id="2" xr3:uid="{381A1B92-BF28-4189-ACE5-72AECF227031}" name="Status"/>
    <tableColumn id="3" xr3:uid="{9A6F60A7-C1F2-4B23-86CE-1B17AFE37ADD}" name="Number" dataDxfId="71">
      <calculatedColumnFormula>COUNTIF(Risks[#All],Table11[[#This Row],[Status]])</calculatedColumnFormula>
    </tableColumn>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5FE2D-8B36-4A52-9C9F-B2CC5613171D}" name="Risks" displayName="Risks" ref="B5:K50" totalsRowShown="0" headerRowBorderDxfId="70">
  <autoFilter ref="B5:K50" xr:uid="{5905FE2D-8B36-4A52-9C9F-B2CC5613171D}"/>
  <tableColumns count="10">
    <tableColumn id="1" xr3:uid="{B81E32C0-A0D6-4B63-8048-E1BF66F11BAE}" name="ID" dataDxfId="69"/>
    <tableColumn id="2" xr3:uid="{EDD30EF1-34B1-4E4B-B01C-264401FFE363}" name="Date Raised" dataDxfId="68"/>
    <tableColumn id="3" xr3:uid="{BBBE3C8E-E3D8-4163-8C80-2A7C1A46F733}" name="Risk Description" dataDxfId="67"/>
    <tableColumn id="4" xr3:uid="{A38E47D6-B045-40F3-A842-E49A1102B937}" name="Likelihood" dataDxfId="66"/>
    <tableColumn id="5" xr3:uid="{27812323-42B7-4969-AD8D-F58B463B2D7F}" name="Impact" dataDxfId="65"/>
    <tableColumn id="6" xr3:uid="{AD0777ED-54D7-4346-8159-33106802A9D8}" name="Severity" dataDxfId="64"/>
    <tableColumn id="7" xr3:uid="{59433BB6-7F91-48F5-9C58-F05EC4E24F35}" name="Mitigation Plan" dataDxfId="63"/>
    <tableColumn id="8" xr3:uid="{4F6576A5-D7C9-4B3A-A54C-7207B5CB07D6}" name="Owner" dataDxfId="62"/>
    <tableColumn id="9" xr3:uid="{BDD68CA8-B678-4610-8883-4770C29A570F}" name="Status" dataDxfId="61"/>
    <tableColumn id="10" xr3:uid="{620BE1E2-323C-43EF-A5FD-A4D155A1D263}" name="Date Closed" dataDxfId="60"/>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710976-0EA9-49DF-AA94-216699E46721}" name="Issues" displayName="Issues" ref="B5:K50" totalsRowShown="0">
  <autoFilter ref="B5:K50" xr:uid="{52710976-0EA9-49DF-AA94-216699E46721}"/>
  <tableColumns count="10">
    <tableColumn id="1" xr3:uid="{B093465F-F55E-4613-A104-E69F1A48317B}" name="ID" dataDxfId="59"/>
    <tableColumn id="2" xr3:uid="{49F35094-AD2F-493B-A7CA-BB3EF2B1DAA4}" name="Date Raised" dataDxfId="58"/>
    <tableColumn id="3" xr3:uid="{A35F8BB0-9A28-4D3E-BDF1-3E6D5C742179}" name="Issue Description" dataDxfId="57"/>
    <tableColumn id="4" xr3:uid="{51B4A295-A6FC-4112-A373-055A19837CAF}" name="Impact Description" dataDxfId="56"/>
    <tableColumn id="5" xr3:uid="{38E0B3D0-193D-4CA0-8169-972F68A1C064}" name="Impact" dataDxfId="55"/>
    <tableColumn id="6" xr3:uid="{FA9286D6-6426-4042-9369-EF7E919C9926}" name="Priority" dataDxfId="54"/>
    <tableColumn id="7" xr3:uid="{9AD0C74E-25BC-4354-817D-9F70EE6EE2A2}" name="Mitigation Plan" dataDxfId="53"/>
    <tableColumn id="8" xr3:uid="{D97502A3-846C-4B40-917F-D5A8D786B43B}" name="Owner" dataDxfId="52"/>
    <tableColumn id="9" xr3:uid="{4AB1839D-6FC5-4CCD-947B-C5B3624E8BC7}" name="Status" dataDxfId="51"/>
    <tableColumn id="10" xr3:uid="{0D37AF40-6712-40FD-9D12-3CF80FA58227}" name="Comments"/>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A8DF4-E40A-4524-88C9-AD6E3723D46A}" name="Assumptions" displayName="Assumptions" ref="B5:H50" totalsRowShown="0" headerRowDxfId="50" dataDxfId="48" headerRowBorderDxfId="49">
  <autoFilter ref="B5:H50" xr:uid="{9C4A8DF4-E40A-4524-88C9-AD6E3723D46A}"/>
  <tableColumns count="7">
    <tableColumn id="1" xr3:uid="{2921E09F-0833-4304-B9F8-C7DD9A7AA811}" name="ID" dataDxfId="47"/>
    <tableColumn id="2" xr3:uid="{28D82499-A9DA-44A6-A713-5680BC69D407}" name="Date Raised" dataDxfId="46"/>
    <tableColumn id="3" xr3:uid="{9A896F11-6DD7-4E3C-A703-0DC95691EE22}" name="Assumption Description" dataDxfId="45"/>
    <tableColumn id="4" xr3:uid="{0022A55E-1BAF-4A1A-BB61-8A0141A90915}" name="Reason for Assumption" dataDxfId="44"/>
    <tableColumn id="5" xr3:uid="{67DBC33F-2FAE-4719-8392-F8EDFA79C3EC}" name="Action to Validate" dataDxfId="43"/>
    <tableColumn id="6" xr3:uid="{56BEEBD4-7C4F-42A9-B0D8-E9E68A81B373}" name="Impact if Assumption Incorrect" dataDxfId="42"/>
    <tableColumn id="7" xr3:uid="{8F4A555A-7A21-49BA-96DA-7A57368E1930}" name="Status" dataDxfId="41"/>
  </tableColumns>
  <tableStyleInfo name="TableStyleLight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3B0FAD-752A-4A0E-AFBC-11C40736024D}" name="Dependencies" displayName="Dependencies" ref="B5:J50" totalsRowShown="0">
  <autoFilter ref="B5:J50" xr:uid="{E43B0FAD-752A-4A0E-AFBC-11C40736024D}"/>
  <tableColumns count="9">
    <tableColumn id="1" xr3:uid="{09565528-EDCD-4116-A947-259C81ACBAEE}" name="ID" dataDxfId="40"/>
    <tableColumn id="2" xr3:uid="{A1E7872F-EABF-4689-9C35-1BAC6560BF35}" name="Date Raised" dataDxfId="39"/>
    <tableColumn id="3" xr3:uid="{C6668CB8-1DF7-4590-B60C-29637395561C}" name="Dependency Description" dataDxfId="38"/>
    <tableColumn id="4" xr3:uid="{704BD2DC-07BE-4572-A42C-84102ED7E224}" name="Location" dataDxfId="37"/>
    <tableColumn id="5" xr3:uid="{1ADF6E57-4B8D-4AE2-92F8-FADA07504AE4}" name="Deliverables" dataDxfId="36"/>
    <tableColumn id="6" xr3:uid="{850B6E13-68BC-44DB-A5AB-6F88A215A320}" name="Delivery Date" dataDxfId="35"/>
    <tableColumn id="7" xr3:uid="{EEA4BFF8-B054-4E35-AF27-534AECC398BC}" name="Importance" dataDxfId="34"/>
    <tableColumn id="8" xr3:uid="{2E9A9F91-3D88-4E21-8202-804F1DF3059A}" name="Status" dataDxfId="33"/>
    <tableColumn id="9" xr3:uid="{008A6ED8-3C31-453E-A468-CAA59189F1FD}" name="Comments"/>
  </tableColumns>
  <tableStyleInfo name="TableStyleLight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2E2D2B-E5B3-4039-A42D-CF94216ACE90}" name="ASR" displayName="ASR" ref="A4:G44" totalsRowShown="0">
  <autoFilter ref="A4:G44" xr:uid="{0D2E2D2B-E5B3-4039-A42D-CF94216ACE90}"/>
  <tableColumns count="7">
    <tableColumn id="1" xr3:uid="{4E5090D5-B421-40E2-AD8C-8CCBBC611968}" name="ID" dataDxfId="32"/>
    <tableColumn id="2" xr3:uid="{673AD794-7CDD-4F6F-81D1-81A051336764}" name="Name" dataDxfId="31"/>
    <tableColumn id="3" xr3:uid="{6D2F3048-5CF0-4670-999A-DBBB1E6348E1}" name="Type" dataDxfId="30"/>
    <tableColumn id="4" xr3:uid="{EB4DDD0C-C35C-45A5-AF18-94A2321EA5A9}" name="Priority" dataDxfId="29"/>
    <tableColumn id="5" xr3:uid="{10B73850-8825-4FCE-98B4-5574E35957D5}" name="Comments" dataDxfId="28"/>
    <tableColumn id="7" xr3:uid="{6072F18A-DF24-49CC-B6D9-E2A40A138C0D}" name="Validation" dataDxfId="27"/>
    <tableColumn id="6" xr3:uid="{5B66D4FA-21A5-4C19-9AEF-4A8C4083AABB}" name="NumberRelations"/>
  </tableColumns>
  <tableStyleInfo name="TableStyleLight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191D34-54AE-470D-9FA5-C4BC0219ABA4}" name="Arch" displayName="Arch" ref="A4:E44" totalsRowShown="0">
  <autoFilter ref="A4:E44" xr:uid="{CE191D34-54AE-470D-9FA5-C4BC0219ABA4}"/>
  <tableColumns count="5">
    <tableColumn id="1" xr3:uid="{A6678427-E2E0-472D-B7A2-B35F5198EF3A}" name="ID" dataDxfId="26"/>
    <tableColumn id="2" xr3:uid="{444F462E-8AC5-4138-8E11-612CA2FBAC21}" name="Name" dataDxfId="25"/>
    <tableColumn id="3" xr3:uid="{5E3B941E-3B69-4346-BCE5-13EC47556A37}" name="Type" dataDxfId="24"/>
    <tableColumn id="4" xr3:uid="{61FC7D86-53BD-4617-B25C-EFFBB85DA2A0}" name="Comments" dataDxfId="23"/>
    <tableColumn id="5" xr3:uid="{5BF894D8-FFCD-4B9C-A18C-A190EE9DDB53}" name="NumberRelations"/>
  </tableColumns>
  <tableStyleInfo name="TableStyleLight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EFDABA-3F01-48EE-A6B4-A089B4D6D7B8}" name="Relations" displayName="Relations" ref="A5:G102" totalsRowShown="0" headerRowDxfId="22">
  <autoFilter ref="A5:G102" xr:uid="{ABEFDABA-3F01-48EE-A6B4-A089B4D6D7B8}"/>
  <tableColumns count="7">
    <tableColumn id="1" xr3:uid="{98079711-78E1-48B5-9253-C769F6DB382F}" name="Req ID" dataDxfId="21"/>
    <tableColumn id="2" xr3:uid="{414C8B60-2C70-4FD0-AA0B-5A7E738711F0}" name="Req Name" dataDxfId="20">
      <calculatedColumnFormula>_xlfn.IFNA(VLOOKUP(A6,ASR[[#All],[ID]:[Name]],2,FALSE),"")</calculatedColumnFormula>
    </tableColumn>
    <tableColumn id="3" xr3:uid="{811CD0EF-3B24-48E5-BBD5-62A7173609D8}" name="Arch ID" dataDxfId="19"/>
    <tableColumn id="4" xr3:uid="{F9797315-5881-497D-94D1-7D2C960AFC9F}" name="Arch Name" dataDxfId="18">
      <calculatedColumnFormula>_xlfn.IFNA(VLOOKUP(C6,Arch[[#All],[ID]:[Name]],2,FALSE),"")</calculatedColumnFormula>
    </tableColumn>
    <tableColumn id="5" xr3:uid="{191C19A3-9B74-43B4-B285-F60D61B80A94}" name="How (ASR-&gt;ARCH)" dataDxfId="17"/>
    <tableColumn id="6" xr3:uid="{6712C567-F3F9-4125-A673-492DE8C9C5AD}" name="Why (ARCH-&gt;ASR)" dataDxfId="16"/>
    <tableColumn id="7" xr3:uid="{5D0B8DFC-9DE2-497C-80D7-3B8CD78B9DC2}" name="Comments" dataDxfId="15"/>
  </tableColumns>
  <tableStyleInfo name="TableStyleLight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8.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0A8E-82A8-4F13-9870-9B9CB2ACB8B7}">
  <dimension ref="A1:H29"/>
  <sheetViews>
    <sheetView workbookViewId="0">
      <selection activeCell="B13" sqref="B13"/>
    </sheetView>
  </sheetViews>
  <sheetFormatPr defaultColWidth="8.7109375" defaultRowHeight="15" x14ac:dyDescent="0.25"/>
  <cols>
    <col min="1" max="1" width="12.7109375" customWidth="1"/>
    <col min="2" max="2" width="40.7109375" customWidth="1"/>
    <col min="3" max="5" width="12.7109375" customWidth="1"/>
    <col min="6" max="6" width="40.7109375" customWidth="1"/>
    <col min="7" max="7" width="12.7109375" customWidth="1"/>
  </cols>
  <sheetData>
    <row r="1" spans="1:8" x14ac:dyDescent="0.25">
      <c r="A1" s="2" t="s">
        <v>36</v>
      </c>
      <c r="B1" s="3" t="s">
        <v>156</v>
      </c>
      <c r="E1" s="32" t="s">
        <v>5</v>
      </c>
      <c r="F1" s="32"/>
    </row>
    <row r="2" spans="1:8" x14ac:dyDescent="0.25">
      <c r="B2" s="5"/>
      <c r="E2" s="2" t="s">
        <v>0</v>
      </c>
      <c r="F2" s="2" t="s">
        <v>38</v>
      </c>
      <c r="G2" s="6" t="s">
        <v>19</v>
      </c>
    </row>
    <row r="3" spans="1:8" x14ac:dyDescent="0.25">
      <c r="A3" s="2" t="s">
        <v>37</v>
      </c>
      <c r="B3" s="3" t="s">
        <v>157</v>
      </c>
      <c r="E3" s="5" t="s">
        <v>39</v>
      </c>
      <c r="F3" s="4"/>
      <c r="G3">
        <f>COUNTIF(ASR[Priority],Table9[[#This Row],[Name]])</f>
        <v>11</v>
      </c>
      <c r="H3" s="2" t="s">
        <v>42</v>
      </c>
    </row>
    <row r="4" spans="1:8" x14ac:dyDescent="0.25">
      <c r="A4" s="2"/>
      <c r="B4" s="3" t="s">
        <v>158</v>
      </c>
      <c r="E4" s="5" t="s">
        <v>40</v>
      </c>
      <c r="F4" s="4"/>
      <c r="G4">
        <f>COUNTIF(ASR[Priority],Table9[[#This Row],[Name]])</f>
        <v>9</v>
      </c>
      <c r="H4" s="2" t="s">
        <v>43</v>
      </c>
    </row>
    <row r="5" spans="1:8" x14ac:dyDescent="0.25">
      <c r="A5" s="2"/>
      <c r="B5" s="3" t="s">
        <v>159</v>
      </c>
      <c r="E5" s="5" t="s">
        <v>41</v>
      </c>
      <c r="F5" s="4"/>
      <c r="G5">
        <f>COUNTIF(ASR[Priority],Table9[[#This Row],[Name]])</f>
        <v>3</v>
      </c>
      <c r="H5" s="2" t="s">
        <v>44</v>
      </c>
    </row>
    <row r="6" spans="1:8" x14ac:dyDescent="0.25">
      <c r="A6" s="2"/>
      <c r="B6" s="5"/>
      <c r="E6" s="4"/>
      <c r="F6" s="4"/>
      <c r="G6">
        <f>COUNTIF(ASR[Priority],Table9[[#This Row],[Name]])</f>
        <v>0</v>
      </c>
      <c r="H6" s="2" t="s">
        <v>45</v>
      </c>
    </row>
    <row r="7" spans="1:8" x14ac:dyDescent="0.25">
      <c r="B7" s="4"/>
    </row>
    <row r="8" spans="1:8" x14ac:dyDescent="0.25">
      <c r="A8" s="32" t="s">
        <v>9</v>
      </c>
      <c r="B8" s="32"/>
      <c r="C8" s="32"/>
      <c r="E8" s="32" t="s">
        <v>20</v>
      </c>
      <c r="F8" s="32"/>
      <c r="G8" s="32"/>
    </row>
    <row r="9" spans="1:8" x14ac:dyDescent="0.25">
      <c r="A9" t="s">
        <v>18</v>
      </c>
      <c r="B9" t="s">
        <v>6</v>
      </c>
      <c r="C9" s="6" t="s">
        <v>19</v>
      </c>
      <c r="E9" t="s">
        <v>18</v>
      </c>
      <c r="F9" t="s">
        <v>6</v>
      </c>
      <c r="G9" s="6" t="s">
        <v>19</v>
      </c>
    </row>
    <row r="10" spans="1:8" x14ac:dyDescent="0.25">
      <c r="A10" s="4" t="s">
        <v>25</v>
      </c>
      <c r="B10" s="4" t="s">
        <v>26</v>
      </c>
      <c r="C10">
        <f>COUNTIF(ASR[Type],Table3[[#This Row],[ID]])</f>
        <v>3</v>
      </c>
      <c r="E10" s="4" t="s">
        <v>21</v>
      </c>
      <c r="F10" s="4" t="s">
        <v>23</v>
      </c>
      <c r="G10">
        <f>COUNTIF(Arch[Type],Table4[[#This Row],[ID]])</f>
        <v>10</v>
      </c>
    </row>
    <row r="11" spans="1:8" x14ac:dyDescent="0.25">
      <c r="A11" s="4" t="s">
        <v>12</v>
      </c>
      <c r="B11" s="4" t="s">
        <v>10</v>
      </c>
      <c r="C11">
        <f>COUNTIF(ASR[Type],Table3[[#This Row],[ID]])</f>
        <v>10</v>
      </c>
      <c r="E11" s="4" t="s">
        <v>22</v>
      </c>
      <c r="F11" s="4" t="s">
        <v>24</v>
      </c>
      <c r="G11">
        <f>COUNTIF(Arch[Type],Table4[[#This Row],[ID]])</f>
        <v>0</v>
      </c>
    </row>
    <row r="12" spans="1:8" x14ac:dyDescent="0.25">
      <c r="A12" s="4" t="s">
        <v>11</v>
      </c>
      <c r="B12" s="4" t="s">
        <v>15</v>
      </c>
      <c r="C12">
        <f>COUNTIF(ASR[Type],Table3[[#This Row],[ID]])</f>
        <v>7</v>
      </c>
      <c r="E12" s="4"/>
      <c r="F12" s="4"/>
      <c r="G12">
        <f>COUNTIF(Arch[Type],Table4[[#This Row],[ID]])</f>
        <v>0</v>
      </c>
    </row>
    <row r="13" spans="1:8" x14ac:dyDescent="0.25">
      <c r="A13" s="4" t="s">
        <v>13</v>
      </c>
      <c r="B13" s="4" t="s">
        <v>16</v>
      </c>
      <c r="C13">
        <f>COUNTIF(ASR[Type],Table3[[#This Row],[ID]])</f>
        <v>4</v>
      </c>
      <c r="E13" s="4"/>
      <c r="F13" s="4"/>
      <c r="G13">
        <f>COUNTIF(Arch[Type],Table4[[#This Row],[ID]])</f>
        <v>0</v>
      </c>
    </row>
    <row r="14" spans="1:8" x14ac:dyDescent="0.25">
      <c r="A14" s="4" t="s">
        <v>14</v>
      </c>
      <c r="B14" s="4" t="s">
        <v>17</v>
      </c>
      <c r="C14">
        <f>COUNTIF(ASR[Type],Table3[[#This Row],[ID]])</f>
        <v>2</v>
      </c>
      <c r="E14" s="4"/>
      <c r="F14" s="4"/>
      <c r="G14">
        <f>COUNTIF(Arch[Type],Table4[[#This Row],[ID]])</f>
        <v>0</v>
      </c>
    </row>
    <row r="15" spans="1:8" x14ac:dyDescent="0.25">
      <c r="A15" s="4"/>
      <c r="B15" s="4"/>
      <c r="C15">
        <f>COUNTIF(ASR[Type],Table3[[#This Row],[ID]])</f>
        <v>0</v>
      </c>
      <c r="E15" s="4"/>
      <c r="F15" s="4"/>
      <c r="G15">
        <f>COUNTIF(Arch[Type],Table4[[#This Row],[ID]])</f>
        <v>0</v>
      </c>
    </row>
    <row r="16" spans="1:8" x14ac:dyDescent="0.25">
      <c r="A16" s="4"/>
      <c r="B16" s="4"/>
      <c r="C16">
        <f>COUNTIF(ASR[Type],Table3[[#This Row],[ID]])</f>
        <v>0</v>
      </c>
      <c r="E16" s="4"/>
      <c r="F16" s="4"/>
      <c r="G16">
        <f>COUNTIF(Arch[Type],Table4[[#This Row],[ID]])</f>
        <v>0</v>
      </c>
    </row>
    <row r="17" spans="1:7" x14ac:dyDescent="0.25">
      <c r="A17" s="4"/>
      <c r="B17" s="4"/>
      <c r="C17">
        <f>COUNTIF(ASR[Type],Table3[[#This Row],[ID]])</f>
        <v>0</v>
      </c>
      <c r="E17" s="4"/>
      <c r="F17" s="4"/>
      <c r="G17">
        <f>COUNTIF(Arch[Type],Table4[[#This Row],[ID]])</f>
        <v>0</v>
      </c>
    </row>
    <row r="18" spans="1:7" x14ac:dyDescent="0.25">
      <c r="A18" s="4"/>
      <c r="B18" s="4"/>
      <c r="C18">
        <f>COUNTIF(ASR[Type],Table3[[#This Row],[ID]])</f>
        <v>0</v>
      </c>
      <c r="E18" s="4"/>
      <c r="F18" s="4"/>
      <c r="G18">
        <f>COUNTIF(Arch[Type],Table4[[#This Row],[ID]])</f>
        <v>0</v>
      </c>
    </row>
    <row r="19" spans="1:7" x14ac:dyDescent="0.25">
      <c r="A19" s="4"/>
      <c r="B19" s="4"/>
      <c r="C19">
        <f>COUNTIF(ASR[Type],Table3[[#This Row],[ID]])</f>
        <v>0</v>
      </c>
      <c r="E19" s="4"/>
      <c r="F19" s="4"/>
      <c r="G19">
        <f>COUNTIF(Arch[Type],Table4[[#This Row],[ID]])</f>
        <v>0</v>
      </c>
    </row>
    <row r="21" spans="1:7" x14ac:dyDescent="0.25">
      <c r="A21" t="s">
        <v>86</v>
      </c>
      <c r="B21" t="s">
        <v>57</v>
      </c>
      <c r="C21" t="s">
        <v>19</v>
      </c>
    </row>
    <row r="22" spans="1:7" x14ac:dyDescent="0.25">
      <c r="A22" t="s">
        <v>85</v>
      </c>
      <c r="B22" t="s">
        <v>60</v>
      </c>
      <c r="C22">
        <f>COUNTIF(Risks[#All],Table11[[#This Row],[Status]])</f>
        <v>0</v>
      </c>
    </row>
    <row r="23" spans="1:7" x14ac:dyDescent="0.25">
      <c r="B23" t="s">
        <v>59</v>
      </c>
      <c r="C23">
        <f>COUNTIF(Risks[#All],Table11[[#This Row],[Status]])</f>
        <v>5</v>
      </c>
    </row>
    <row r="24" spans="1:7" x14ac:dyDescent="0.25">
      <c r="A24" t="s">
        <v>87</v>
      </c>
      <c r="B24" t="s">
        <v>60</v>
      </c>
      <c r="C24">
        <f>COUNTIF(Issues[#All],Table11[[#This Row],[Status]])</f>
        <v>1</v>
      </c>
    </row>
    <row r="25" spans="1:7" x14ac:dyDescent="0.25">
      <c r="B25" t="s">
        <v>59</v>
      </c>
      <c r="C25">
        <f>COUNTIF(Issues[#All],Table11[[#This Row],[Status]])</f>
        <v>0</v>
      </c>
    </row>
    <row r="26" spans="1:7" x14ac:dyDescent="0.25">
      <c r="A26" t="s">
        <v>61</v>
      </c>
      <c r="B26" t="s">
        <v>60</v>
      </c>
      <c r="C26">
        <f>COUNTIF(Assumptions[#All],Table11[[#This Row],[Status]])</f>
        <v>0</v>
      </c>
    </row>
    <row r="27" spans="1:7" x14ac:dyDescent="0.25">
      <c r="B27" t="s">
        <v>59</v>
      </c>
      <c r="C27">
        <f>COUNTIF(Assumptions[#All],Table11[[#This Row],[Status]])</f>
        <v>0</v>
      </c>
    </row>
    <row r="28" spans="1:7" x14ac:dyDescent="0.25">
      <c r="A28" t="s">
        <v>76</v>
      </c>
      <c r="B28" t="s">
        <v>60</v>
      </c>
      <c r="C28">
        <f>COUNTIF(Dependencies[#All],Table11[[#This Row],[Status]])</f>
        <v>0</v>
      </c>
    </row>
    <row r="29" spans="1:7" x14ac:dyDescent="0.25">
      <c r="B29" t="s">
        <v>59</v>
      </c>
      <c r="C29">
        <f>COUNTIF(Dependencies[#All],Table11[[#This Row],[Status]])</f>
        <v>0</v>
      </c>
    </row>
  </sheetData>
  <mergeCells count="3">
    <mergeCell ref="E1:F1"/>
    <mergeCell ref="A8:C8"/>
    <mergeCell ref="E8:G8"/>
  </mergeCell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06A7-1D33-4F15-A0BE-326856C1E597}">
  <dimension ref="B1:K25"/>
  <sheetViews>
    <sheetView zoomScale="92" zoomScaleNormal="160" workbookViewId="0">
      <pane xSplit="1" ySplit="5" topLeftCell="B6" activePane="bottomRight" state="frozen"/>
      <selection pane="topRight" activeCell="B1" sqref="B1"/>
      <selection pane="bottomLeft" activeCell="A6" sqref="A6"/>
      <selection pane="bottomRight" activeCell="H8" sqref="H8"/>
    </sheetView>
  </sheetViews>
  <sheetFormatPr defaultColWidth="9.140625" defaultRowHeight="15" x14ac:dyDescent="0.25"/>
  <cols>
    <col min="1" max="1" width="1.28515625" customWidth="1"/>
    <col min="2" max="2" width="8" style="17" customWidth="1"/>
    <col min="3" max="3" width="16.7109375" style="11" customWidth="1"/>
    <col min="4" max="4" width="40.7109375" style="9" customWidth="1"/>
    <col min="5" max="7" width="6" style="8" customWidth="1"/>
    <col min="8" max="8" width="40.7109375" style="9" customWidth="1"/>
    <col min="9" max="10" width="16.7109375" style="10" customWidth="1"/>
    <col min="11" max="11" width="16.7109375" style="11" customWidth="1"/>
  </cols>
  <sheetData>
    <row r="1" spans="2:11" ht="18.75" x14ac:dyDescent="0.3">
      <c r="B1" s="19" t="s">
        <v>46</v>
      </c>
      <c r="C1" s="19"/>
      <c r="D1" s="19" t="str">
        <f>Summary!B1</f>
        <v>PL2 Guardian</v>
      </c>
    </row>
    <row r="2" spans="2:11" ht="18.75" x14ac:dyDescent="0.3">
      <c r="B2" s="19" t="s">
        <v>47</v>
      </c>
      <c r="C2" s="19"/>
      <c r="D2" s="19"/>
    </row>
    <row r="3" spans="2:11" ht="15.75" x14ac:dyDescent="0.25">
      <c r="B3" s="20" t="s">
        <v>84</v>
      </c>
      <c r="C3" s="20"/>
      <c r="D3" s="30">
        <v>46025</v>
      </c>
    </row>
    <row r="4" spans="2:11" ht="53.25" customHeight="1" x14ac:dyDescent="0.25">
      <c r="B4" s="33" t="s">
        <v>49</v>
      </c>
      <c r="C4" s="33"/>
      <c r="D4" s="33"/>
      <c r="E4" s="33"/>
      <c r="F4" s="33"/>
      <c r="G4" s="33"/>
      <c r="H4" s="33"/>
      <c r="I4" s="33"/>
      <c r="J4" s="33"/>
      <c r="K4" s="33"/>
    </row>
    <row r="5" spans="2:11" ht="54" x14ac:dyDescent="0.25">
      <c r="B5" s="12" t="s">
        <v>18</v>
      </c>
      <c r="C5" s="13" t="s">
        <v>50</v>
      </c>
      <c r="D5" s="14" t="s">
        <v>51</v>
      </c>
      <c r="E5" s="15" t="s">
        <v>52</v>
      </c>
      <c r="F5" s="15" t="s">
        <v>53</v>
      </c>
      <c r="G5" s="15" t="s">
        <v>54</v>
      </c>
      <c r="H5" s="14" t="s">
        <v>55</v>
      </c>
      <c r="I5" s="16" t="s">
        <v>56</v>
      </c>
      <c r="J5" s="16" t="s">
        <v>57</v>
      </c>
      <c r="K5" s="13" t="s">
        <v>58</v>
      </c>
    </row>
    <row r="6" spans="2:11" ht="90" x14ac:dyDescent="0.25">
      <c r="B6" s="17">
        <v>1</v>
      </c>
      <c r="D6" s="18" t="s">
        <v>164</v>
      </c>
      <c r="E6" s="8">
        <v>3</v>
      </c>
      <c r="F6" s="8">
        <v>4</v>
      </c>
      <c r="G6" s="8">
        <f>SUM(E6*F6)</f>
        <v>12</v>
      </c>
      <c r="H6" s="18" t="s">
        <v>166</v>
      </c>
      <c r="J6" s="10" t="s">
        <v>59</v>
      </c>
    </row>
    <row r="7" spans="2:11" ht="90" x14ac:dyDescent="0.25">
      <c r="B7" s="17">
        <v>2</v>
      </c>
      <c r="D7" s="18" t="s">
        <v>199</v>
      </c>
      <c r="E7" s="8">
        <v>1</v>
      </c>
      <c r="F7" s="8">
        <v>4</v>
      </c>
      <c r="G7" s="8">
        <f t="shared" ref="G7:G15" si="0">SUM(E7*F7)</f>
        <v>4</v>
      </c>
      <c r="H7" s="18" t="s">
        <v>167</v>
      </c>
      <c r="I7" s="10" t="s">
        <v>170</v>
      </c>
      <c r="J7" s="10" t="s">
        <v>59</v>
      </c>
    </row>
    <row r="8" spans="2:11" ht="75" x14ac:dyDescent="0.25">
      <c r="B8" s="17">
        <v>3</v>
      </c>
      <c r="D8" s="18" t="s">
        <v>165</v>
      </c>
      <c r="E8" s="8">
        <v>1</v>
      </c>
      <c r="F8" s="8">
        <v>5</v>
      </c>
      <c r="G8" s="8">
        <f t="shared" si="0"/>
        <v>5</v>
      </c>
      <c r="H8" s="18" t="s">
        <v>168</v>
      </c>
      <c r="J8" s="10" t="s">
        <v>59</v>
      </c>
    </row>
    <row r="9" spans="2:11" ht="75" x14ac:dyDescent="0.25">
      <c r="B9" s="17">
        <v>4</v>
      </c>
      <c r="D9" s="18" t="s">
        <v>198</v>
      </c>
      <c r="E9" s="8">
        <v>1</v>
      </c>
      <c r="F9" s="8">
        <v>4</v>
      </c>
      <c r="G9" s="8">
        <f t="shared" si="0"/>
        <v>4</v>
      </c>
      <c r="H9" s="18" t="s">
        <v>169</v>
      </c>
      <c r="J9" s="10" t="s">
        <v>59</v>
      </c>
    </row>
    <row r="10" spans="2:11" ht="75" x14ac:dyDescent="0.25">
      <c r="B10" s="17">
        <v>5</v>
      </c>
      <c r="D10" s="18" t="s">
        <v>197</v>
      </c>
      <c r="E10" s="8">
        <v>1</v>
      </c>
      <c r="F10" s="8">
        <v>5</v>
      </c>
      <c r="G10" s="8">
        <f t="shared" si="0"/>
        <v>5</v>
      </c>
      <c r="H10" s="18" t="s">
        <v>200</v>
      </c>
      <c r="J10" s="10" t="s">
        <v>59</v>
      </c>
    </row>
    <row r="11" spans="2:11" x14ac:dyDescent="0.25">
      <c r="B11" s="17">
        <v>6</v>
      </c>
      <c r="D11" s="18"/>
      <c r="G11" s="8">
        <f t="shared" si="0"/>
        <v>0</v>
      </c>
      <c r="H11" s="18"/>
    </row>
    <row r="12" spans="2:11" x14ac:dyDescent="0.25">
      <c r="B12" s="17">
        <v>7</v>
      </c>
      <c r="D12" s="18"/>
      <c r="G12" s="8">
        <f t="shared" si="0"/>
        <v>0</v>
      </c>
      <c r="H12" s="18"/>
    </row>
    <row r="13" spans="2:11" x14ac:dyDescent="0.25">
      <c r="B13" s="17">
        <v>8</v>
      </c>
      <c r="D13" s="18"/>
      <c r="G13" s="8">
        <f t="shared" si="0"/>
        <v>0</v>
      </c>
      <c r="H13" s="18"/>
    </row>
    <row r="14" spans="2:11" x14ac:dyDescent="0.25">
      <c r="B14" s="17">
        <v>9</v>
      </c>
      <c r="D14" s="18"/>
      <c r="G14" s="8">
        <f t="shared" si="0"/>
        <v>0</v>
      </c>
      <c r="H14" s="18"/>
    </row>
    <row r="15" spans="2:11" x14ac:dyDescent="0.25">
      <c r="B15" s="17">
        <v>10</v>
      </c>
      <c r="D15" s="18"/>
      <c r="G15" s="8">
        <f t="shared" si="0"/>
        <v>0</v>
      </c>
      <c r="H15" s="18"/>
    </row>
    <row r="16" spans="2:11" x14ac:dyDescent="0.25">
      <c r="D16" s="18"/>
      <c r="H16" s="18"/>
    </row>
    <row r="17" spans="4:8" x14ac:dyDescent="0.25">
      <c r="D17" s="18"/>
      <c r="H17" s="18"/>
    </row>
    <row r="18" spans="4:8" x14ac:dyDescent="0.25">
      <c r="D18" s="18"/>
      <c r="H18" s="18"/>
    </row>
    <row r="19" spans="4:8" x14ac:dyDescent="0.25">
      <c r="D19" s="18"/>
      <c r="H19" s="18"/>
    </row>
    <row r="20" spans="4:8" x14ac:dyDescent="0.25">
      <c r="D20" s="18"/>
      <c r="H20" s="18"/>
    </row>
    <row r="21" spans="4:8" x14ac:dyDescent="0.25">
      <c r="D21" s="18"/>
      <c r="H21" s="18"/>
    </row>
    <row r="22" spans="4:8" x14ac:dyDescent="0.25">
      <c r="D22" s="18"/>
      <c r="H22" s="18"/>
    </row>
    <row r="23" spans="4:8" x14ac:dyDescent="0.25">
      <c r="D23" s="18"/>
      <c r="H23" s="18"/>
    </row>
    <row r="24" spans="4:8" x14ac:dyDescent="0.25">
      <c r="D24" s="18"/>
      <c r="H24" s="18"/>
    </row>
    <row r="25" spans="4:8" x14ac:dyDescent="0.25">
      <c r="D25" s="18"/>
      <c r="H25" s="18"/>
    </row>
  </sheetData>
  <mergeCells count="1">
    <mergeCell ref="B4:K4"/>
  </mergeCells>
  <conditionalFormatting sqref="G6:G100">
    <cfRule type="cellIs" dxfId="14" priority="1" operator="between">
      <formula>1</formula>
      <formula>8</formula>
    </cfRule>
    <cfRule type="cellIs" dxfId="13" priority="2" operator="between">
      <formula>9</formula>
      <formula>14</formula>
    </cfRule>
    <cfRule type="cellIs" dxfId="12" priority="3" operator="greaterThan">
      <formula>14</formula>
    </cfRule>
  </conditionalFormatting>
  <dataValidations count="3">
    <dataValidation allowBlank="1" showInputMessage="1" showErrorMessage="1" errorTitle="Status" error="Please enter either Open or Closed." sqref="J1:J3 J5" xr:uid="{BB6714FA-A8C8-437E-AA48-87B97A0B046E}"/>
    <dataValidation type="list" allowBlank="1" showInputMessage="1" showErrorMessage="1" errorTitle="Status" error="Please enter either Open or Closed." sqref="J4 J6:J1048576" xr:uid="{F6DFA04E-7C42-47D8-BBF1-3C12FC2639DE}">
      <formula1>Status</formula1>
    </dataValidation>
    <dataValidation type="list" allowBlank="1" showInputMessage="1" showErrorMessage="1" errorTitle="Score" error="Please enter a number between 1 and 5" sqref="E16:F100" xr:uid="{F8825F43-E011-4094-81A0-6A52473C939F}">
      <formula1>RiskLevels</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FF616-D6C7-450D-8B58-6CB95642E994}">
  <dimension ref="B1:K15"/>
  <sheetViews>
    <sheetView workbookViewId="0">
      <pane ySplit="5" topLeftCell="A6" activePane="bottomLeft" state="frozen"/>
      <selection pane="bottomLeft" activeCell="B4" sqref="B4:J4"/>
    </sheetView>
  </sheetViews>
  <sheetFormatPr defaultColWidth="9.140625" defaultRowHeight="15" x14ac:dyDescent="0.25"/>
  <cols>
    <col min="1" max="1" width="1.28515625" customWidth="1"/>
    <col min="2" max="2" width="5" style="21" customWidth="1"/>
    <col min="3" max="3" width="16.7109375" style="11" customWidth="1"/>
    <col min="4" max="5" width="32.7109375" style="9" customWidth="1"/>
    <col min="6" max="7" width="9.7109375" style="22" customWidth="1"/>
    <col min="8" max="8" width="32.7109375" style="23" customWidth="1"/>
    <col min="9" max="9" width="16.7109375" style="22" customWidth="1"/>
    <col min="10" max="10" width="16.7109375" style="10" customWidth="1"/>
    <col min="11" max="11" width="21.7109375" customWidth="1"/>
  </cols>
  <sheetData>
    <row r="1" spans="2:11" ht="18.75" x14ac:dyDescent="0.3">
      <c r="B1" s="19" t="s">
        <v>46</v>
      </c>
      <c r="C1" s="19"/>
      <c r="D1" s="19" t="str">
        <f>Summary!B1</f>
        <v>PL2 Guardian</v>
      </c>
      <c r="E1" s="19"/>
      <c r="H1" s="23" t="s">
        <v>67</v>
      </c>
    </row>
    <row r="2" spans="2:11" ht="18.75" x14ac:dyDescent="0.3">
      <c r="B2" s="34" t="s">
        <v>68</v>
      </c>
      <c r="C2" s="34"/>
      <c r="D2" s="34"/>
      <c r="E2" s="19"/>
    </row>
    <row r="3" spans="2:11" ht="15.75" x14ac:dyDescent="0.25">
      <c r="B3" s="35" t="s">
        <v>178</v>
      </c>
      <c r="C3" s="35"/>
      <c r="D3" s="35"/>
      <c r="E3" s="20"/>
    </row>
    <row r="4" spans="2:11" ht="46.5" customHeight="1" x14ac:dyDescent="0.25">
      <c r="B4" s="33" t="s">
        <v>69</v>
      </c>
      <c r="C4" s="33"/>
      <c r="D4" s="33"/>
      <c r="E4" s="33"/>
      <c r="F4" s="33"/>
      <c r="G4" s="33"/>
      <c r="H4" s="33"/>
      <c r="I4" s="33"/>
      <c r="J4" s="33"/>
    </row>
    <row r="5" spans="2:11" x14ac:dyDescent="0.25">
      <c r="B5" s="12" t="s">
        <v>18</v>
      </c>
      <c r="C5" s="13" t="s">
        <v>50</v>
      </c>
      <c r="D5" s="14" t="s">
        <v>70</v>
      </c>
      <c r="E5" s="14" t="s">
        <v>71</v>
      </c>
      <c r="F5" s="24" t="s">
        <v>53</v>
      </c>
      <c r="G5" s="24" t="s">
        <v>5</v>
      </c>
      <c r="H5" s="25" t="s">
        <v>55</v>
      </c>
      <c r="I5" s="24" t="s">
        <v>56</v>
      </c>
      <c r="J5" s="16" t="s">
        <v>57</v>
      </c>
      <c r="K5" t="s">
        <v>7</v>
      </c>
    </row>
    <row r="6" spans="2:11" ht="45" x14ac:dyDescent="0.25">
      <c r="B6" s="17">
        <v>1</v>
      </c>
      <c r="D6" s="9" t="s">
        <v>72</v>
      </c>
      <c r="E6" s="9" t="s">
        <v>73</v>
      </c>
      <c r="F6" s="22" t="s">
        <v>39</v>
      </c>
      <c r="G6" s="22" t="s">
        <v>39</v>
      </c>
      <c r="H6" s="9" t="s">
        <v>74</v>
      </c>
      <c r="J6" s="10" t="s">
        <v>60</v>
      </c>
    </row>
    <row r="7" spans="2:11" x14ac:dyDescent="0.25">
      <c r="B7" s="17">
        <v>2</v>
      </c>
      <c r="K7" t="s">
        <v>75</v>
      </c>
    </row>
    <row r="8" spans="2:11" x14ac:dyDescent="0.25">
      <c r="B8" s="17">
        <v>3</v>
      </c>
    </row>
    <row r="9" spans="2:11" x14ac:dyDescent="0.25">
      <c r="B9" s="17">
        <v>4</v>
      </c>
    </row>
    <row r="10" spans="2:11" x14ac:dyDescent="0.25">
      <c r="B10" s="17">
        <v>5</v>
      </c>
    </row>
    <row r="11" spans="2:11" x14ac:dyDescent="0.25">
      <c r="B11" s="17">
        <v>6</v>
      </c>
    </row>
    <row r="12" spans="2:11" x14ac:dyDescent="0.25">
      <c r="B12" s="17">
        <v>7</v>
      </c>
    </row>
    <row r="13" spans="2:11" x14ac:dyDescent="0.25">
      <c r="B13" s="17">
        <v>8</v>
      </c>
    </row>
    <row r="14" spans="2:11" x14ac:dyDescent="0.25">
      <c r="B14" s="17">
        <v>9</v>
      </c>
    </row>
    <row r="15" spans="2:11" x14ac:dyDescent="0.25">
      <c r="B15" s="17">
        <v>10</v>
      </c>
    </row>
  </sheetData>
  <mergeCells count="3">
    <mergeCell ref="B2:D2"/>
    <mergeCell ref="B3:D3"/>
    <mergeCell ref="B4:J4"/>
  </mergeCells>
  <conditionalFormatting sqref="F1:G1048576">
    <cfRule type="cellIs" dxfId="11" priority="1" operator="equal">
      <formula>"Low"</formula>
    </cfRule>
    <cfRule type="cellIs" dxfId="10" priority="2" operator="equal">
      <formula>"Medium"</formula>
    </cfRule>
    <cfRule type="cellIs" dxfId="9" priority="3" operator="equal">
      <formula>"High"</formula>
    </cfRule>
  </conditionalFormatting>
  <conditionalFormatting sqref="H1:H4 I1:I1048576 H6:H1048576">
    <cfRule type="cellIs" dxfId="8" priority="4" operator="equal">
      <formula>"Medium"</formula>
    </cfRule>
    <cfRule type="cellIs" dxfId="7" priority="5" operator="equal">
      <formula>"Low"</formula>
    </cfRule>
    <cfRule type="cellIs" dxfId="6" priority="6" operator="equal">
      <formula>"High"</formula>
    </cfRule>
  </conditionalFormatting>
  <dataValidations count="6">
    <dataValidation allowBlank="1" showInputMessage="1" showErrorMessage="1" errorTitle="Impact" error="Please enter either High, Medium or Low." sqref="F1:F3 F5" xr:uid="{3364A6D4-DD85-486B-B44E-689B2D9B05AC}"/>
    <dataValidation type="list" allowBlank="1" showInputMessage="1" showErrorMessage="1" errorTitle="Impact" error="Please enter either High, Medium or Low." sqref="F4 F6:F1048576" xr:uid="{A77C6D6F-3659-4404-BC5C-1F8D4F8D888D}">
      <formula1>Impact</formula1>
    </dataValidation>
    <dataValidation allowBlank="1" showInputMessage="1" showErrorMessage="1" errorTitle="Priority" error="Please enter either High, Medium or Low." sqref="G1:G3 G5" xr:uid="{998F7F09-1DB0-4C14-9D06-FFEE9A774C2D}"/>
    <dataValidation type="list" allowBlank="1" showInputMessage="1" showErrorMessage="1" errorTitle="Priority" error="Please enter either High, Medium or Low." sqref="G4 G6:G1048576" xr:uid="{ED5B755C-E7D9-41EE-9FF7-CDD3852796E3}">
      <formula1>Prioirty</formula1>
    </dataValidation>
    <dataValidation allowBlank="1" showInputMessage="1" showErrorMessage="1" errorTitle="Status" error="Please enter either Open or Closed." sqref="J1:J3 J5" xr:uid="{F0EE9C72-6615-4EE6-87A6-0064BFA1C8C1}"/>
    <dataValidation type="list" allowBlank="1" showInputMessage="1" showErrorMessage="1" errorTitle="Status" error="Please enter either Open or Closed." sqref="J4 J6:J1048576" xr:uid="{011565ED-8D4D-49B4-98C9-519B6413F0DA}">
      <formula1>Status</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65603-2171-4CDF-94B4-9EA7553570C8}">
  <dimension ref="B1:H15"/>
  <sheetViews>
    <sheetView workbookViewId="0">
      <pane ySplit="5" topLeftCell="A6" activePane="bottomLeft" state="frozen"/>
      <selection pane="bottomLeft" activeCell="H6" sqref="H6"/>
    </sheetView>
  </sheetViews>
  <sheetFormatPr defaultColWidth="9.140625" defaultRowHeight="15" x14ac:dyDescent="0.25"/>
  <cols>
    <col min="1" max="1" width="1.28515625" customWidth="1"/>
    <col min="2" max="2" width="5" style="21" customWidth="1"/>
    <col min="3" max="3" width="16.7109375" style="11" customWidth="1"/>
    <col min="4" max="4" width="39.7109375" style="9" customWidth="1"/>
    <col min="5" max="7" width="32.7109375" style="9" customWidth="1"/>
    <col min="8" max="8" width="16.7109375" style="10" customWidth="1"/>
  </cols>
  <sheetData>
    <row r="1" spans="2:8" ht="18.75" x14ac:dyDescent="0.3">
      <c r="B1" s="19" t="s">
        <v>46</v>
      </c>
      <c r="C1" s="19"/>
      <c r="D1" s="19" t="str">
        <f>Summary!B1</f>
        <v>PL2 Guardian</v>
      </c>
      <c r="E1" s="19"/>
      <c r="F1" s="19"/>
    </row>
    <row r="2" spans="2:8" ht="18.75" x14ac:dyDescent="0.3">
      <c r="B2" s="19" t="s">
        <v>61</v>
      </c>
      <c r="C2" s="19"/>
      <c r="D2" s="19"/>
      <c r="E2" s="19"/>
      <c r="F2" s="19"/>
    </row>
    <row r="3" spans="2:8" ht="15.75" x14ac:dyDescent="0.25">
      <c r="B3" s="20" t="s">
        <v>48</v>
      </c>
      <c r="C3" s="20"/>
      <c r="D3" s="20"/>
      <c r="E3" s="20"/>
      <c r="F3" s="20"/>
    </row>
    <row r="4" spans="2:8" ht="46.5" customHeight="1" x14ac:dyDescent="0.25">
      <c r="B4" s="33" t="s">
        <v>62</v>
      </c>
      <c r="C4" s="33"/>
      <c r="D4" s="33"/>
      <c r="E4" s="33"/>
      <c r="F4" s="33"/>
      <c r="G4" s="33"/>
      <c r="H4" s="33"/>
    </row>
    <row r="5" spans="2:8" x14ac:dyDescent="0.25">
      <c r="B5" s="12" t="s">
        <v>18</v>
      </c>
      <c r="C5" s="13" t="s">
        <v>50</v>
      </c>
      <c r="D5" s="14" t="s">
        <v>63</v>
      </c>
      <c r="E5" s="14" t="s">
        <v>64</v>
      </c>
      <c r="F5" s="14" t="s">
        <v>65</v>
      </c>
      <c r="G5" s="14" t="s">
        <v>66</v>
      </c>
      <c r="H5" s="16" t="s">
        <v>57</v>
      </c>
    </row>
    <row r="6" spans="2:8" x14ac:dyDescent="0.25">
      <c r="B6" s="17">
        <v>1</v>
      </c>
    </row>
    <row r="7" spans="2:8" x14ac:dyDescent="0.25">
      <c r="B7" s="17">
        <v>2</v>
      </c>
    </row>
    <row r="8" spans="2:8" x14ac:dyDescent="0.25">
      <c r="B8" s="17">
        <v>3</v>
      </c>
    </row>
    <row r="9" spans="2:8" x14ac:dyDescent="0.25">
      <c r="B9" s="17">
        <v>4</v>
      </c>
    </row>
    <row r="10" spans="2:8" x14ac:dyDescent="0.25">
      <c r="B10" s="17">
        <v>5</v>
      </c>
    </row>
    <row r="11" spans="2:8" x14ac:dyDescent="0.25">
      <c r="B11" s="17">
        <v>6</v>
      </c>
    </row>
    <row r="12" spans="2:8" x14ac:dyDescent="0.25">
      <c r="B12" s="17">
        <v>7</v>
      </c>
    </row>
    <row r="13" spans="2:8" x14ac:dyDescent="0.25">
      <c r="B13" s="17">
        <v>8</v>
      </c>
    </row>
    <row r="14" spans="2:8" x14ac:dyDescent="0.25">
      <c r="B14" s="17">
        <v>9</v>
      </c>
    </row>
    <row r="15" spans="2:8" x14ac:dyDescent="0.25">
      <c r="B15" s="17">
        <v>10</v>
      </c>
    </row>
  </sheetData>
  <mergeCells count="1">
    <mergeCell ref="B4:H4"/>
  </mergeCells>
  <dataValidations count="2">
    <dataValidation allowBlank="1" showInputMessage="1" showErrorMessage="1" errorTitle="Status" error="Please enter either Open or Closed." sqref="H1:H3 H5" xr:uid="{C162C6CF-E13C-4A96-AB19-4070C39D79FD}"/>
    <dataValidation type="list" allowBlank="1" showInputMessage="1" showErrorMessage="1" errorTitle="Status" error="Please enter either Open or Closed." sqref="H4 H6:H1048576" xr:uid="{01199072-AFBA-4A09-BC42-45796821E329}">
      <formula1>Status</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D0CC-26C8-4097-8F76-F16666FEB327}">
  <dimension ref="B1:J15"/>
  <sheetViews>
    <sheetView workbookViewId="0">
      <pane ySplit="5" topLeftCell="A6" activePane="bottomLeft" state="frozen"/>
      <selection pane="bottomLeft" activeCell="D11" sqref="D7:D11"/>
    </sheetView>
  </sheetViews>
  <sheetFormatPr defaultColWidth="9.140625" defaultRowHeight="15" x14ac:dyDescent="0.25"/>
  <cols>
    <col min="1" max="1" width="1.28515625" customWidth="1"/>
    <col min="2" max="2" width="5" style="21" customWidth="1"/>
    <col min="3" max="3" width="16.7109375" style="11" customWidth="1"/>
    <col min="4" max="4" width="30.7109375" style="9" customWidth="1"/>
    <col min="5" max="5" width="16.7109375" style="22" customWidth="1"/>
    <col min="6" max="6" width="30.7109375" style="23" customWidth="1"/>
    <col min="7" max="7" width="16.7109375" style="11" customWidth="1"/>
    <col min="8" max="9" width="16.7109375" style="10" customWidth="1"/>
    <col min="10" max="10" width="13.7109375" customWidth="1"/>
  </cols>
  <sheetData>
    <row r="1" spans="2:10" ht="18.75" x14ac:dyDescent="0.3">
      <c r="B1" s="19" t="s">
        <v>46</v>
      </c>
      <c r="C1" s="19"/>
      <c r="D1" s="19" t="str">
        <f>Summary!B1</f>
        <v>PL2 Guardian</v>
      </c>
    </row>
    <row r="2" spans="2:10" ht="18.75" x14ac:dyDescent="0.3">
      <c r="B2" s="34" t="s">
        <v>76</v>
      </c>
      <c r="C2" s="34"/>
      <c r="D2" s="34"/>
    </row>
    <row r="3" spans="2:10" ht="15.75" x14ac:dyDescent="0.25">
      <c r="B3" s="35" t="s">
        <v>48</v>
      </c>
      <c r="C3" s="35"/>
      <c r="D3" s="35"/>
    </row>
    <row r="4" spans="2:10" ht="46.5" customHeight="1" x14ac:dyDescent="0.25">
      <c r="B4" s="33" t="s">
        <v>77</v>
      </c>
      <c r="C4" s="33"/>
      <c r="D4" s="33"/>
      <c r="E4" s="33"/>
      <c r="F4" s="33"/>
      <c r="G4" s="33"/>
      <c r="H4" s="36"/>
      <c r="I4" s="36"/>
    </row>
    <row r="5" spans="2:10" x14ac:dyDescent="0.25">
      <c r="B5" s="12" t="s">
        <v>18</v>
      </c>
      <c r="C5" s="13" t="s">
        <v>50</v>
      </c>
      <c r="D5" s="14" t="s">
        <v>78</v>
      </c>
      <c r="E5" s="24" t="s">
        <v>79</v>
      </c>
      <c r="F5" s="25" t="s">
        <v>80</v>
      </c>
      <c r="G5" s="13" t="s">
        <v>81</v>
      </c>
      <c r="H5" s="16" t="s">
        <v>82</v>
      </c>
      <c r="I5" s="16" t="s">
        <v>57</v>
      </c>
      <c r="J5" t="s">
        <v>7</v>
      </c>
    </row>
    <row r="6" spans="2:10" x14ac:dyDescent="0.25">
      <c r="B6" s="17">
        <v>1</v>
      </c>
      <c r="D6" s="9" t="s">
        <v>171</v>
      </c>
      <c r="H6" s="10" t="s">
        <v>177</v>
      </c>
    </row>
    <row r="7" spans="2:10" x14ac:dyDescent="0.25">
      <c r="B7" s="17">
        <v>2</v>
      </c>
      <c r="D7" s="9" t="s">
        <v>172</v>
      </c>
      <c r="H7" s="10" t="s">
        <v>177</v>
      </c>
    </row>
    <row r="8" spans="2:10" ht="30" x14ac:dyDescent="0.25">
      <c r="B8" s="17">
        <v>3</v>
      </c>
      <c r="D8" s="9" t="s">
        <v>173</v>
      </c>
      <c r="H8" s="10" t="s">
        <v>177</v>
      </c>
    </row>
    <row r="9" spans="2:10" x14ac:dyDescent="0.25">
      <c r="B9" s="17">
        <v>4</v>
      </c>
      <c r="D9" s="9" t="s">
        <v>174</v>
      </c>
      <c r="H9" s="10" t="s">
        <v>177</v>
      </c>
    </row>
    <row r="10" spans="2:10" x14ac:dyDescent="0.25">
      <c r="B10" s="17">
        <v>5</v>
      </c>
      <c r="D10" s="9" t="s">
        <v>175</v>
      </c>
      <c r="H10" s="10" t="s">
        <v>177</v>
      </c>
    </row>
    <row r="11" spans="2:10" x14ac:dyDescent="0.25">
      <c r="B11" s="17">
        <v>6</v>
      </c>
      <c r="D11" s="9" t="s">
        <v>176</v>
      </c>
      <c r="H11" s="10" t="s">
        <v>177</v>
      </c>
    </row>
    <row r="12" spans="2:10" x14ac:dyDescent="0.25">
      <c r="B12" s="17">
        <v>7</v>
      </c>
    </row>
    <row r="13" spans="2:10" x14ac:dyDescent="0.25">
      <c r="B13" s="17">
        <v>8</v>
      </c>
    </row>
    <row r="14" spans="2:10" x14ac:dyDescent="0.25">
      <c r="B14" s="17">
        <v>9</v>
      </c>
    </row>
    <row r="15" spans="2:10" x14ac:dyDescent="0.25">
      <c r="B15" s="17">
        <v>10</v>
      </c>
    </row>
  </sheetData>
  <mergeCells count="3">
    <mergeCell ref="B2:D2"/>
    <mergeCell ref="B3:D3"/>
    <mergeCell ref="B4:I4"/>
  </mergeCells>
  <conditionalFormatting sqref="F1:F1048576">
    <cfRule type="cellIs" dxfId="5" priority="4" operator="equal">
      <formula>"Medium"</formula>
    </cfRule>
    <cfRule type="cellIs" dxfId="4" priority="5" operator="equal">
      <formula>"Low"</formula>
    </cfRule>
    <cfRule type="cellIs" dxfId="3" priority="6" operator="equal">
      <formula>"High"</formula>
    </cfRule>
  </conditionalFormatting>
  <conditionalFormatting sqref="H1:H1048576">
    <cfRule type="cellIs" dxfId="2" priority="1" operator="equal">
      <formula>"High"</formula>
    </cfRule>
    <cfRule type="cellIs" dxfId="1" priority="2" operator="equal">
      <formula>"Medium"</formula>
    </cfRule>
    <cfRule type="cellIs" dxfId="0" priority="3" operator="equal">
      <formula>"Low"</formula>
    </cfRule>
  </conditionalFormatting>
  <dataValidations count="5">
    <dataValidation allowBlank="1" showInputMessage="1" showErrorMessage="1" errorTitle="Importance" error="Please enter either High, Medium or Low." sqref="H1:H3 H5" xr:uid="{9EB9FB78-3A86-418D-B001-31EEC1EBD7BD}"/>
    <dataValidation type="list" allowBlank="1" showInputMessage="1" showErrorMessage="1" errorTitle="Importance" error="Please enter either High, Medium or Low." sqref="H4 H6:H1048576" xr:uid="{2ADC6360-6D75-4387-8380-19A537C43D2C}">
      <formula1>Importance</formula1>
    </dataValidation>
    <dataValidation allowBlank="1" showInputMessage="1" showErrorMessage="1" errorTitle="Status" error="Please enter either Open or Closed." sqref="I1:I3 I5" xr:uid="{201A4DDF-98F8-4EFF-85E8-8BEFBE29CBC3}"/>
    <dataValidation type="list" allowBlank="1" showInputMessage="1" showErrorMessage="1" sqref="E4 E6:E1048576" xr:uid="{BFC9B65F-4419-4C3E-BE52-B51D8E891166}">
      <formula1>Location</formula1>
    </dataValidation>
    <dataValidation type="list" allowBlank="1" showInputMessage="1" showErrorMessage="1" errorTitle="Status" error="Please enter either Open or Closed." sqref="I4 I6:I1048576" xr:uid="{C55DC41E-607A-4072-8176-5B740878CD8C}">
      <formula1>Status</formula1>
    </dataValidation>
  </dataValidation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zoomScale="123" zoomScaleNormal="92" workbookViewId="0">
      <pane ySplit="4" topLeftCell="A5" activePane="bottomLeft" state="frozen"/>
      <selection pane="bottomLeft" activeCell="B20" sqref="B20"/>
    </sheetView>
  </sheetViews>
  <sheetFormatPr defaultColWidth="14.42578125" defaultRowHeight="15" customHeight="1" x14ac:dyDescent="0.25"/>
  <cols>
    <col min="1" max="1" width="12.7109375" customWidth="1"/>
    <col min="2" max="2" width="56.85546875" customWidth="1"/>
    <col min="3" max="3" width="14.7109375" customWidth="1"/>
    <col min="4" max="4" width="12.7109375" customWidth="1"/>
    <col min="5" max="5" width="135" customWidth="1"/>
    <col min="6" max="6" width="40.7109375" customWidth="1"/>
    <col min="7" max="7" width="12.7109375" customWidth="1"/>
    <col min="8" max="27" width="8.7109375" customWidth="1"/>
  </cols>
  <sheetData>
    <row r="1" spans="1:7" ht="15" customHeight="1" x14ac:dyDescent="0.3">
      <c r="A1" s="19" t="s">
        <v>46</v>
      </c>
      <c r="B1" s="19" t="s">
        <v>162</v>
      </c>
      <c r="C1" s="19" t="str">
        <f>Summary!B1</f>
        <v>PL2 Guardian</v>
      </c>
    </row>
    <row r="2" spans="1:7" ht="15" customHeight="1" x14ac:dyDescent="0.3">
      <c r="A2" s="19" t="s">
        <v>47</v>
      </c>
      <c r="B2" s="19"/>
      <c r="C2" s="19"/>
    </row>
    <row r="3" spans="1:7" ht="15" customHeight="1" x14ac:dyDescent="0.25">
      <c r="A3" s="20" t="s">
        <v>84</v>
      </c>
      <c r="B3" s="30">
        <v>45966</v>
      </c>
      <c r="C3" s="20" t="s">
        <v>83</v>
      </c>
    </row>
    <row r="4" spans="1:7" x14ac:dyDescent="0.25">
      <c r="A4" s="1" t="s">
        <v>18</v>
      </c>
      <c r="B4" s="1" t="s">
        <v>0</v>
      </c>
      <c r="C4" t="s">
        <v>6</v>
      </c>
      <c r="D4" t="s">
        <v>5</v>
      </c>
      <c r="E4" t="s">
        <v>7</v>
      </c>
      <c r="F4" t="s">
        <v>27</v>
      </c>
      <c r="G4" s="6" t="s">
        <v>8</v>
      </c>
    </row>
    <row r="5" spans="1:7" x14ac:dyDescent="0.25">
      <c r="A5" s="26" t="s">
        <v>1</v>
      </c>
      <c r="B5" s="26" t="s">
        <v>88</v>
      </c>
      <c r="C5" s="26" t="s">
        <v>12</v>
      </c>
      <c r="D5" s="26" t="s">
        <v>39</v>
      </c>
      <c r="E5" s="26" t="s">
        <v>89</v>
      </c>
      <c r="F5" s="4"/>
      <c r="G5">
        <f>COUNTIF('Relations'!$A$6:$A$102,ASR!A5)</f>
        <v>1</v>
      </c>
    </row>
    <row r="6" spans="1:7" x14ac:dyDescent="0.25">
      <c r="A6" s="26" t="s">
        <v>2</v>
      </c>
      <c r="B6" s="26" t="s">
        <v>90</v>
      </c>
      <c r="C6" s="26" t="s">
        <v>12</v>
      </c>
      <c r="D6" s="26" t="s">
        <v>41</v>
      </c>
      <c r="E6" s="27" t="s">
        <v>91</v>
      </c>
      <c r="F6" s="4"/>
      <c r="G6">
        <f>COUNTIF('Relations'!$A$6:$A$102,ASR!A6)</f>
        <v>1</v>
      </c>
    </row>
    <row r="7" spans="1:7" ht="15" customHeight="1" x14ac:dyDescent="0.25">
      <c r="A7" s="26" t="s">
        <v>92</v>
      </c>
      <c r="B7" s="26" t="s">
        <v>93</v>
      </c>
      <c r="C7" s="26" t="s">
        <v>12</v>
      </c>
      <c r="D7" s="26" t="s">
        <v>40</v>
      </c>
      <c r="E7" s="27" t="s">
        <v>94</v>
      </c>
      <c r="F7" s="4"/>
      <c r="G7">
        <f>COUNTIF('Relations'!$A$6:$A$102,ASR!A7)</f>
        <v>0</v>
      </c>
    </row>
    <row r="8" spans="1:7" ht="15" customHeight="1" x14ac:dyDescent="0.25">
      <c r="A8" s="26" t="s">
        <v>95</v>
      </c>
      <c r="B8" s="26" t="s">
        <v>96</v>
      </c>
      <c r="C8" s="26" t="s">
        <v>12</v>
      </c>
      <c r="D8" s="26" t="s">
        <v>40</v>
      </c>
      <c r="E8" s="26" t="s">
        <v>97</v>
      </c>
      <c r="F8" s="4"/>
      <c r="G8">
        <f>COUNTIF('Relations'!$A$6:$A$102,ASR!A8)</f>
        <v>1</v>
      </c>
    </row>
    <row r="9" spans="1:7" ht="15" customHeight="1" x14ac:dyDescent="0.25">
      <c r="A9" s="26" t="s">
        <v>98</v>
      </c>
      <c r="B9" s="26" t="s">
        <v>99</v>
      </c>
      <c r="C9" s="26" t="s">
        <v>12</v>
      </c>
      <c r="D9" s="26" t="s">
        <v>39</v>
      </c>
      <c r="E9" s="27" t="s">
        <v>100</v>
      </c>
      <c r="F9" s="4"/>
      <c r="G9">
        <f>COUNTIF('Relations'!$A$6:$A$102,ASR!A9)</f>
        <v>2</v>
      </c>
    </row>
    <row r="10" spans="1:7" ht="15" customHeight="1" x14ac:dyDescent="0.25">
      <c r="A10" s="26" t="s">
        <v>101</v>
      </c>
      <c r="B10" s="26" t="s">
        <v>102</v>
      </c>
      <c r="C10" s="26" t="s">
        <v>12</v>
      </c>
      <c r="D10" s="26" t="s">
        <v>40</v>
      </c>
      <c r="E10" s="27" t="s">
        <v>103</v>
      </c>
      <c r="F10" s="4"/>
      <c r="G10">
        <f>COUNTIF('Relations'!$A$6:$A$102,ASR!A10)</f>
        <v>1</v>
      </c>
    </row>
    <row r="11" spans="1:7" ht="15" customHeight="1" x14ac:dyDescent="0.25">
      <c r="A11" s="26" t="s">
        <v>104</v>
      </c>
      <c r="B11" s="26" t="s">
        <v>105</v>
      </c>
      <c r="C11" s="26" t="s">
        <v>12</v>
      </c>
      <c r="D11" s="26" t="s">
        <v>39</v>
      </c>
      <c r="E11" s="27" t="s">
        <v>106</v>
      </c>
      <c r="F11" s="4"/>
      <c r="G11">
        <f>COUNTIF('Relations'!$A$6:$A$102,ASR!A11)</f>
        <v>0</v>
      </c>
    </row>
    <row r="12" spans="1:7" ht="15" customHeight="1" x14ac:dyDescent="0.25">
      <c r="A12" s="26" t="s">
        <v>107</v>
      </c>
      <c r="B12" s="26" t="s">
        <v>108</v>
      </c>
      <c r="C12" s="26" t="s">
        <v>12</v>
      </c>
      <c r="D12" s="26" t="s">
        <v>39</v>
      </c>
      <c r="E12" s="27" t="s">
        <v>109</v>
      </c>
      <c r="F12" s="4"/>
      <c r="G12">
        <f>COUNTIF('Relations'!$A$6:$A$102,ASR!A12)</f>
        <v>0</v>
      </c>
    </row>
    <row r="13" spans="1:7" ht="15" customHeight="1" x14ac:dyDescent="0.25">
      <c r="A13" s="26" t="s">
        <v>110</v>
      </c>
      <c r="B13" s="26" t="s">
        <v>111</v>
      </c>
      <c r="C13" s="26" t="s">
        <v>12</v>
      </c>
      <c r="D13" s="26" t="s">
        <v>41</v>
      </c>
      <c r="E13" s="27" t="s">
        <v>112</v>
      </c>
      <c r="F13" s="4"/>
      <c r="G13">
        <f>COUNTIF('Relations'!$A$6:$A$102,ASR!A13)</f>
        <v>1</v>
      </c>
    </row>
    <row r="14" spans="1:7" ht="15" customHeight="1" x14ac:dyDescent="0.25">
      <c r="A14" s="4" t="s">
        <v>113</v>
      </c>
      <c r="B14" s="4" t="s">
        <v>161</v>
      </c>
      <c r="C14" s="4" t="s">
        <v>12</v>
      </c>
      <c r="D14" s="4" t="s">
        <v>39</v>
      </c>
      <c r="E14" s="4" t="s">
        <v>163</v>
      </c>
      <c r="F14" s="4"/>
      <c r="G14">
        <f>COUNTIF('Relations'!$A$6:$A$102,ASR!A14)</f>
        <v>0</v>
      </c>
    </row>
    <row r="15" spans="1:7" ht="15" customHeight="1" x14ac:dyDescent="0.25">
      <c r="A15" s="26" t="s">
        <v>114</v>
      </c>
      <c r="B15" s="26" t="s">
        <v>202</v>
      </c>
      <c r="C15" s="28" t="s">
        <v>11</v>
      </c>
      <c r="D15" s="26" t="s">
        <v>39</v>
      </c>
      <c r="E15" s="29" t="s">
        <v>201</v>
      </c>
      <c r="F15" s="4"/>
      <c r="G15">
        <f>COUNTIF('Relations'!$A$6:$A$102,ASR!A15)</f>
        <v>1</v>
      </c>
    </row>
    <row r="16" spans="1:7" ht="15" customHeight="1" x14ac:dyDescent="0.25">
      <c r="A16" s="26" t="s">
        <v>117</v>
      </c>
      <c r="B16" s="26" t="s">
        <v>115</v>
      </c>
      <c r="C16" s="26" t="s">
        <v>11</v>
      </c>
      <c r="D16" s="26" t="s">
        <v>39</v>
      </c>
      <c r="E16" s="29" t="s">
        <v>116</v>
      </c>
      <c r="F16" s="4"/>
      <c r="G16">
        <f>COUNTIF('Relations'!$A$6:$A$102,ASR!A16)</f>
        <v>0</v>
      </c>
    </row>
    <row r="17" spans="1:7" ht="15" customHeight="1" x14ac:dyDescent="0.25">
      <c r="A17" s="26" t="s">
        <v>120</v>
      </c>
      <c r="B17" s="26" t="s">
        <v>118</v>
      </c>
      <c r="C17" s="26" t="s">
        <v>11</v>
      </c>
      <c r="D17" s="26" t="s">
        <v>39</v>
      </c>
      <c r="E17" s="29" t="s">
        <v>119</v>
      </c>
      <c r="F17" s="4"/>
      <c r="G17">
        <f>COUNTIF('Relations'!$A$6:$A$102,ASR!A17)</f>
        <v>1</v>
      </c>
    </row>
    <row r="18" spans="1:7" ht="15" customHeight="1" x14ac:dyDescent="0.25">
      <c r="A18" s="26" t="s">
        <v>123</v>
      </c>
      <c r="B18" s="26" t="s">
        <v>121</v>
      </c>
      <c r="C18" s="28" t="s">
        <v>11</v>
      </c>
      <c r="D18" s="26" t="s">
        <v>40</v>
      </c>
      <c r="E18" s="29" t="s">
        <v>122</v>
      </c>
      <c r="F18" s="4"/>
      <c r="G18">
        <f>COUNTIF('Relations'!$A$6:$A$102,ASR!A18)</f>
        <v>1</v>
      </c>
    </row>
    <row r="19" spans="1:7" ht="15" customHeight="1" x14ac:dyDescent="0.25">
      <c r="A19" s="26" t="s">
        <v>126</v>
      </c>
      <c r="B19" s="26" t="s">
        <v>124</v>
      </c>
      <c r="C19" s="26" t="s">
        <v>11</v>
      </c>
      <c r="D19" s="4" t="s">
        <v>40</v>
      </c>
      <c r="E19" s="29" t="s">
        <v>125</v>
      </c>
      <c r="F19" s="4"/>
      <c r="G19">
        <f>COUNTIF('Relations'!$A$6:$A$102,ASR!A19)</f>
        <v>0</v>
      </c>
    </row>
    <row r="20" spans="1:7" ht="15" customHeight="1" x14ac:dyDescent="0.25">
      <c r="A20" s="26" t="s">
        <v>129</v>
      </c>
      <c r="B20" s="26" t="s">
        <v>127</v>
      </c>
      <c r="C20" s="26" t="s">
        <v>11</v>
      </c>
      <c r="D20" s="26" t="s">
        <v>40</v>
      </c>
      <c r="E20" s="29" t="s">
        <v>128</v>
      </c>
      <c r="F20" s="4"/>
      <c r="G20">
        <f>COUNTIF('Relations'!$A$6:$A$102,ASR!A20)</f>
        <v>2</v>
      </c>
    </row>
    <row r="21" spans="1:7" ht="15" customHeight="1" x14ac:dyDescent="0.25">
      <c r="A21" s="26" t="s">
        <v>132</v>
      </c>
      <c r="B21" s="26" t="s">
        <v>130</v>
      </c>
      <c r="C21" s="26" t="s">
        <v>11</v>
      </c>
      <c r="D21" s="26" t="s">
        <v>41</v>
      </c>
      <c r="E21" s="29" t="s">
        <v>131</v>
      </c>
      <c r="F21" s="4"/>
      <c r="G21">
        <f>COUNTIF('Relations'!$A$6:$A$102,ASR!A21)</f>
        <v>0</v>
      </c>
    </row>
    <row r="22" spans="1:7" ht="15.75" customHeight="1" x14ac:dyDescent="0.25">
      <c r="A22" s="26" t="s">
        <v>135</v>
      </c>
      <c r="B22" s="26" t="s">
        <v>133</v>
      </c>
      <c r="C22" s="26" t="s">
        <v>13</v>
      </c>
      <c r="D22" s="26" t="s">
        <v>39</v>
      </c>
      <c r="E22" s="29" t="s">
        <v>134</v>
      </c>
      <c r="F22" s="4"/>
      <c r="G22">
        <f>COUNTIF('Relations'!$A$6:$A$102,ASR!A22)</f>
        <v>0</v>
      </c>
    </row>
    <row r="23" spans="1:7" ht="15.75" customHeight="1" x14ac:dyDescent="0.25">
      <c r="A23" s="26" t="s">
        <v>138</v>
      </c>
      <c r="B23" s="26" t="s">
        <v>136</v>
      </c>
      <c r="C23" s="26" t="s">
        <v>13</v>
      </c>
      <c r="D23" s="4" t="s">
        <v>40</v>
      </c>
      <c r="E23" s="29" t="s">
        <v>137</v>
      </c>
      <c r="F23" s="4"/>
      <c r="G23">
        <f>COUNTIF('Relations'!$A$6:$A$102,ASR!A23)</f>
        <v>0</v>
      </c>
    </row>
    <row r="24" spans="1:7" ht="15.75" customHeight="1" x14ac:dyDescent="0.25">
      <c r="A24" s="26" t="s">
        <v>141</v>
      </c>
      <c r="B24" s="26" t="s">
        <v>139</v>
      </c>
      <c r="C24" s="26" t="s">
        <v>13</v>
      </c>
      <c r="D24" s="26" t="s">
        <v>39</v>
      </c>
      <c r="E24" s="29" t="s">
        <v>140</v>
      </c>
      <c r="F24" s="4"/>
      <c r="G24">
        <f>COUNTIF('Relations'!$A$6:$A$102,ASR!A24)</f>
        <v>0</v>
      </c>
    </row>
    <row r="25" spans="1:7" ht="15.75" customHeight="1" x14ac:dyDescent="0.25">
      <c r="A25" s="26" t="s">
        <v>144</v>
      </c>
      <c r="B25" s="4" t="s">
        <v>203</v>
      </c>
      <c r="C25" s="4" t="s">
        <v>13</v>
      </c>
      <c r="D25" s="4" t="s">
        <v>39</v>
      </c>
      <c r="E25" s="4" t="s">
        <v>204</v>
      </c>
      <c r="F25" s="4"/>
      <c r="G25">
        <f>COUNTIF('Relations'!$A$6:$A$102,ASR!A25)</f>
        <v>0</v>
      </c>
    </row>
    <row r="26" spans="1:7" ht="15.75" customHeight="1" x14ac:dyDescent="0.25">
      <c r="A26" s="26" t="s">
        <v>147</v>
      </c>
      <c r="B26" s="26" t="s">
        <v>142</v>
      </c>
      <c r="C26" s="26" t="s">
        <v>14</v>
      </c>
      <c r="D26" s="26" t="s">
        <v>40</v>
      </c>
      <c r="E26" s="31" t="s">
        <v>143</v>
      </c>
      <c r="F26" s="4"/>
      <c r="G26">
        <f>COUNTIF('Relations'!$A$6:$A$102,ASR!A26)</f>
        <v>0</v>
      </c>
    </row>
    <row r="27" spans="1:7" ht="15.75" customHeight="1" x14ac:dyDescent="0.25">
      <c r="A27" s="3" t="s">
        <v>150</v>
      </c>
      <c r="B27" s="26" t="s">
        <v>145</v>
      </c>
      <c r="C27" s="26" t="s">
        <v>14</v>
      </c>
      <c r="D27" s="26" t="s">
        <v>40</v>
      </c>
      <c r="E27" s="31" t="s">
        <v>146</v>
      </c>
      <c r="F27" s="4"/>
      <c r="G27">
        <f>COUNTIF('Relations'!$A$6:$A$102,ASR!A27)</f>
        <v>0</v>
      </c>
    </row>
    <row r="28" spans="1:7" ht="15.75" customHeight="1" x14ac:dyDescent="0.25">
      <c r="A28" s="3" t="s">
        <v>153</v>
      </c>
      <c r="B28" s="3" t="s">
        <v>148</v>
      </c>
      <c r="C28" s="4" t="s">
        <v>25</v>
      </c>
      <c r="D28" s="4"/>
      <c r="E28" s="3" t="s">
        <v>149</v>
      </c>
      <c r="F28" s="4"/>
      <c r="G28">
        <f>COUNTIF('Relations'!$A$6:$A$102,ASR!A28)</f>
        <v>0</v>
      </c>
    </row>
    <row r="29" spans="1:7" ht="15.75" customHeight="1" x14ac:dyDescent="0.25">
      <c r="A29" s="3" t="s">
        <v>160</v>
      </c>
      <c r="B29" s="3" t="s">
        <v>151</v>
      </c>
      <c r="C29" s="3" t="s">
        <v>25</v>
      </c>
      <c r="D29" s="4"/>
      <c r="E29" s="3" t="s">
        <v>152</v>
      </c>
      <c r="F29" s="4"/>
      <c r="G29">
        <f>COUNTIF('Relations'!$A$6:$A$102,ASR!A29)</f>
        <v>0</v>
      </c>
    </row>
    <row r="30" spans="1:7" ht="15.75" customHeight="1" x14ac:dyDescent="0.25">
      <c r="A30" s="4"/>
      <c r="B30" s="4" t="s">
        <v>154</v>
      </c>
      <c r="C30" s="4" t="s">
        <v>25</v>
      </c>
      <c r="D30" s="4"/>
      <c r="E30" s="4" t="s">
        <v>155</v>
      </c>
      <c r="F30" s="4"/>
      <c r="G30">
        <f>COUNTIF('Relations'!$A$6:$A$102,ASR!A30)</f>
        <v>0</v>
      </c>
    </row>
    <row r="31" spans="1:7" ht="15.75" customHeight="1" x14ac:dyDescent="0.25">
      <c r="A31" s="4"/>
      <c r="B31" s="4"/>
      <c r="C31" s="4"/>
      <c r="D31" s="4"/>
      <c r="E31" s="4"/>
      <c r="F31" s="4"/>
      <c r="G31">
        <f>COUNTIF('Relations'!$A$6:$A$102,ASR!A31)</f>
        <v>0</v>
      </c>
    </row>
    <row r="32" spans="1:7" ht="15.75" customHeight="1" x14ac:dyDescent="0.25">
      <c r="A32" s="4"/>
      <c r="B32" s="4"/>
      <c r="C32" s="4"/>
      <c r="D32" s="4"/>
      <c r="E32" s="4"/>
      <c r="F32" s="4"/>
      <c r="G32">
        <f>COUNTIF('Relations'!$A$6:$A$102,ASR!A32)</f>
        <v>0</v>
      </c>
    </row>
    <row r="33" spans="1:7" ht="15.75" customHeight="1" x14ac:dyDescent="0.25">
      <c r="A33" s="4"/>
      <c r="B33" s="4"/>
      <c r="C33" s="4"/>
      <c r="D33" s="4"/>
      <c r="E33" s="4"/>
      <c r="F33" s="4"/>
      <c r="G33">
        <f>COUNTIF('Relations'!$A$6:$A$102,ASR!A33)</f>
        <v>0</v>
      </c>
    </row>
    <row r="34" spans="1:7" ht="15.75" customHeight="1" x14ac:dyDescent="0.25">
      <c r="A34" s="4"/>
      <c r="B34" s="4"/>
      <c r="C34" s="4"/>
      <c r="D34" s="4"/>
      <c r="E34" s="4"/>
      <c r="F34" s="4"/>
      <c r="G34">
        <f>COUNTIF('Relations'!$A$6:$A$102,ASR!A34)</f>
        <v>0</v>
      </c>
    </row>
    <row r="35" spans="1:7" ht="15.75" customHeight="1" x14ac:dyDescent="0.25">
      <c r="A35" s="4"/>
      <c r="B35" s="4"/>
      <c r="C35" s="4"/>
      <c r="D35" s="4"/>
      <c r="E35" s="4"/>
      <c r="F35" s="4"/>
      <c r="G35">
        <f>COUNTIF('Relations'!$A$6:$A$102,ASR!A35)</f>
        <v>0</v>
      </c>
    </row>
    <row r="36" spans="1:7" ht="15.75" customHeight="1" x14ac:dyDescent="0.25">
      <c r="A36" s="4"/>
      <c r="B36" s="4"/>
      <c r="C36" s="4"/>
      <c r="D36" s="4"/>
      <c r="E36" s="4"/>
      <c r="F36" s="4"/>
      <c r="G36">
        <f>COUNTIF('Relations'!$A$6:$A$102,ASR!A36)</f>
        <v>0</v>
      </c>
    </row>
    <row r="37" spans="1:7" ht="15.75" customHeight="1" x14ac:dyDescent="0.25">
      <c r="A37" s="4"/>
      <c r="B37" s="4"/>
      <c r="C37" s="4"/>
      <c r="D37" s="4"/>
      <c r="E37" s="4"/>
      <c r="F37" s="4"/>
      <c r="G37">
        <f>COUNTIF('Relations'!$A$6:$A$102,ASR!A37)</f>
        <v>0</v>
      </c>
    </row>
    <row r="38" spans="1:7" ht="15.75" customHeight="1" x14ac:dyDescent="0.25">
      <c r="A38" s="4"/>
      <c r="B38" s="4"/>
      <c r="C38" s="4"/>
      <c r="D38" s="4"/>
      <c r="E38" s="4"/>
      <c r="F38" s="4"/>
      <c r="G38">
        <f>COUNTIF('Relations'!$A$6:$A$102,ASR!A38)</f>
        <v>0</v>
      </c>
    </row>
    <row r="39" spans="1:7" ht="15.75" customHeight="1" x14ac:dyDescent="0.25">
      <c r="A39" s="4"/>
      <c r="B39" s="4"/>
      <c r="C39" s="4"/>
      <c r="D39" s="4"/>
      <c r="E39" s="4"/>
      <c r="F39" s="4"/>
      <c r="G39">
        <f>COUNTIF('Relations'!$A$6:$A$102,ASR!A39)</f>
        <v>0</v>
      </c>
    </row>
    <row r="40" spans="1:7" ht="15.75" customHeight="1" x14ac:dyDescent="0.25">
      <c r="A40" s="4"/>
      <c r="B40" s="4"/>
      <c r="C40" s="4"/>
      <c r="D40" s="4"/>
      <c r="E40" s="4"/>
      <c r="F40" s="4"/>
      <c r="G40">
        <f>COUNTIF('Relations'!$A$6:$A$102,ASR!A40)</f>
        <v>0</v>
      </c>
    </row>
    <row r="41" spans="1:7" ht="15.75" customHeight="1" x14ac:dyDescent="0.25">
      <c r="A41" s="4"/>
      <c r="B41" s="4"/>
      <c r="C41" s="4"/>
      <c r="D41" s="4"/>
      <c r="E41" s="4"/>
      <c r="F41" s="4"/>
      <c r="G41">
        <f>COUNTIF('Relations'!$A$6:$A$102,ASR!A41)</f>
        <v>0</v>
      </c>
    </row>
    <row r="42" spans="1:7" ht="15.75" customHeight="1" x14ac:dyDescent="0.25">
      <c r="A42" s="4"/>
      <c r="B42" s="4"/>
      <c r="C42" s="4"/>
      <c r="D42" s="4"/>
      <c r="E42" s="4"/>
      <c r="F42" s="4"/>
      <c r="G42">
        <f>COUNTIF('Relations'!$A$6:$A$102,ASR!A42)</f>
        <v>0</v>
      </c>
    </row>
    <row r="43" spans="1:7" ht="15.75" customHeight="1" x14ac:dyDescent="0.25">
      <c r="A43" s="4"/>
      <c r="B43" s="4"/>
      <c r="C43" s="4"/>
      <c r="D43" s="4"/>
      <c r="E43" s="4"/>
      <c r="F43" s="4"/>
      <c r="G43">
        <f>COUNTIF('Relations'!$A$6:$A$102,ASR!A43)</f>
        <v>0</v>
      </c>
    </row>
    <row r="44" spans="1:7" ht="15.75" customHeight="1" x14ac:dyDescent="0.25">
      <c r="A44" s="4"/>
      <c r="B44" s="4"/>
      <c r="C44" s="4"/>
      <c r="D44" s="4"/>
      <c r="E44" s="4"/>
      <c r="F44" s="4"/>
      <c r="G44">
        <f>COUNTIF('Relations'!$A$6:$A$102,ASR!A44)</f>
        <v>0</v>
      </c>
    </row>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2B3D607-7AF8-407E-B093-FEDA1ABAA84B}">
          <x14:formula1>
            <xm:f>Summary!$A$10:$A$19</xm:f>
          </x14:formula1>
          <xm:sqref>C14 C31:C44</xm:sqref>
        </x14:dataValidation>
        <x14:dataValidation type="list" allowBlank="1" showInputMessage="1" showErrorMessage="1" xr:uid="{7D5AF06F-4B6E-4474-88FA-7F24D42B5B9C}">
          <x14:formula1>
            <xm:f>Summary!$E$3:$E$6</xm:f>
          </x14:formula1>
          <xm:sqref>D14 D31:D44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1"/>
  <sheetViews>
    <sheetView zoomScale="99" workbookViewId="0">
      <pane ySplit="4" topLeftCell="A5" activePane="bottomLeft" state="frozen"/>
      <selection pane="bottomLeft" activeCell="A14" sqref="A5:A14"/>
    </sheetView>
  </sheetViews>
  <sheetFormatPr defaultColWidth="14.42578125" defaultRowHeight="15" customHeight="1" x14ac:dyDescent="0.25"/>
  <cols>
    <col min="1" max="1" width="12.7109375" customWidth="1"/>
    <col min="2" max="2" width="40.7109375" customWidth="1"/>
    <col min="3" max="3" width="12.7109375" customWidth="1"/>
    <col min="4" max="4" width="80.7109375" customWidth="1"/>
    <col min="5" max="5" width="12.7109375" customWidth="1"/>
    <col min="6" max="26" width="8.7109375" customWidth="1"/>
  </cols>
  <sheetData>
    <row r="1" spans="1:5" ht="15" customHeight="1" x14ac:dyDescent="0.25">
      <c r="A1" s="2" t="s">
        <v>35</v>
      </c>
      <c r="B1" s="7" t="str">
        <f>Summary!B1</f>
        <v>PL2 Guardian</v>
      </c>
    </row>
    <row r="2" spans="1:5" ht="15" customHeight="1" x14ac:dyDescent="0.25">
      <c r="A2" s="2"/>
      <c r="B2" s="7"/>
    </row>
    <row r="4" spans="1:5" x14ac:dyDescent="0.25">
      <c r="A4" s="1" t="s">
        <v>18</v>
      </c>
      <c r="B4" s="1" t="s">
        <v>0</v>
      </c>
      <c r="C4" t="s">
        <v>6</v>
      </c>
      <c r="D4" t="s">
        <v>7</v>
      </c>
      <c r="E4" s="6" t="s">
        <v>8</v>
      </c>
    </row>
    <row r="5" spans="1:5" x14ac:dyDescent="0.25">
      <c r="A5" s="3" t="s">
        <v>3</v>
      </c>
      <c r="B5" s="3" t="s">
        <v>179</v>
      </c>
      <c r="C5" s="4" t="s">
        <v>21</v>
      </c>
      <c r="D5" s="4" t="s">
        <v>205</v>
      </c>
      <c r="E5">
        <f>COUNTIF('Relations'!$C$6:$C$102,A5)</f>
        <v>1</v>
      </c>
    </row>
    <row r="6" spans="1:5" x14ac:dyDescent="0.25">
      <c r="A6" s="3" t="s">
        <v>4</v>
      </c>
      <c r="B6" s="3" t="s">
        <v>180</v>
      </c>
      <c r="C6" s="4" t="s">
        <v>21</v>
      </c>
      <c r="D6" s="4" t="s">
        <v>206</v>
      </c>
      <c r="E6">
        <f>COUNTIF('Relations'!$C$6:$C$102,A6)</f>
        <v>4</v>
      </c>
    </row>
    <row r="7" spans="1:5" ht="15" customHeight="1" x14ac:dyDescent="0.25">
      <c r="A7" s="4" t="s">
        <v>189</v>
      </c>
      <c r="B7" s="4" t="s">
        <v>181</v>
      </c>
      <c r="C7" s="4" t="s">
        <v>21</v>
      </c>
      <c r="D7" s="4" t="s">
        <v>207</v>
      </c>
      <c r="E7">
        <f>COUNTIF('Relations'!$C$6:$C$102,A7)</f>
        <v>1</v>
      </c>
    </row>
    <row r="8" spans="1:5" ht="15" customHeight="1" x14ac:dyDescent="0.25">
      <c r="A8" s="4" t="s">
        <v>190</v>
      </c>
      <c r="B8" s="4" t="s">
        <v>182</v>
      </c>
      <c r="C8" s="4" t="s">
        <v>21</v>
      </c>
      <c r="D8" s="4" t="s">
        <v>208</v>
      </c>
      <c r="E8">
        <f>COUNTIF('Relations'!$C$6:$C$102,A8)</f>
        <v>1</v>
      </c>
    </row>
    <row r="9" spans="1:5" ht="15" customHeight="1" x14ac:dyDescent="0.25">
      <c r="A9" s="4" t="s">
        <v>191</v>
      </c>
      <c r="B9" s="4" t="s">
        <v>183</v>
      </c>
      <c r="C9" s="4" t="s">
        <v>21</v>
      </c>
      <c r="D9" s="4" t="s">
        <v>209</v>
      </c>
      <c r="E9">
        <f>COUNTIF('Relations'!$C$6:$C$102,A9)</f>
        <v>1</v>
      </c>
    </row>
    <row r="10" spans="1:5" ht="15" customHeight="1" x14ac:dyDescent="0.25">
      <c r="A10" s="4" t="s">
        <v>192</v>
      </c>
      <c r="B10" s="4" t="s">
        <v>184</v>
      </c>
      <c r="C10" s="4" t="s">
        <v>21</v>
      </c>
      <c r="D10" s="4" t="s">
        <v>210</v>
      </c>
      <c r="E10">
        <f>COUNTIF('Relations'!$C$6:$C$102,A10)</f>
        <v>0</v>
      </c>
    </row>
    <row r="11" spans="1:5" ht="15" customHeight="1" x14ac:dyDescent="0.25">
      <c r="A11" s="4" t="s">
        <v>193</v>
      </c>
      <c r="B11" s="4" t="s">
        <v>185</v>
      </c>
      <c r="C11" s="4" t="s">
        <v>21</v>
      </c>
      <c r="D11" s="4" t="s">
        <v>211</v>
      </c>
      <c r="E11">
        <f>COUNTIF('Relations'!$C$6:$C$102,A11)</f>
        <v>1</v>
      </c>
    </row>
    <row r="12" spans="1:5" ht="15" customHeight="1" x14ac:dyDescent="0.25">
      <c r="A12" s="4" t="s">
        <v>194</v>
      </c>
      <c r="B12" s="4" t="s">
        <v>186</v>
      </c>
      <c r="C12" s="4" t="s">
        <v>21</v>
      </c>
      <c r="D12" s="4" t="s">
        <v>212</v>
      </c>
      <c r="E12">
        <f>COUNTIF('Relations'!$C$6:$C$102,A12)</f>
        <v>1</v>
      </c>
    </row>
    <row r="13" spans="1:5" ht="15" customHeight="1" x14ac:dyDescent="0.25">
      <c r="A13" s="4" t="s">
        <v>195</v>
      </c>
      <c r="B13" s="4" t="s">
        <v>187</v>
      </c>
      <c r="C13" s="4" t="s">
        <v>21</v>
      </c>
      <c r="D13" s="4" t="s">
        <v>213</v>
      </c>
      <c r="E13">
        <f>COUNTIF('Relations'!$C$6:$C$102,A13)</f>
        <v>1</v>
      </c>
    </row>
    <row r="14" spans="1:5" ht="15" customHeight="1" x14ac:dyDescent="0.25">
      <c r="A14" s="4" t="s">
        <v>196</v>
      </c>
      <c r="B14" s="4" t="s">
        <v>188</v>
      </c>
      <c r="C14" s="4" t="s">
        <v>21</v>
      </c>
      <c r="D14" s="4" t="s">
        <v>214</v>
      </c>
      <c r="E14">
        <f>COUNTIF('Relations'!$C$6:$C$102,A14)</f>
        <v>1</v>
      </c>
    </row>
    <row r="15" spans="1:5" ht="15" customHeight="1" x14ac:dyDescent="0.25">
      <c r="A15" s="4"/>
      <c r="B15" s="4"/>
      <c r="C15" s="4"/>
      <c r="D15" s="4"/>
      <c r="E15">
        <f>COUNTIF('Relations'!$C$6:$C$102,A15)</f>
        <v>0</v>
      </c>
    </row>
    <row r="16" spans="1:5" ht="15" customHeight="1" x14ac:dyDescent="0.25">
      <c r="A16" s="4"/>
      <c r="B16" s="4"/>
      <c r="C16" s="4"/>
      <c r="D16" s="4"/>
      <c r="E16">
        <f>COUNTIF('Relations'!$C$6:$C$102,A16)</f>
        <v>0</v>
      </c>
    </row>
    <row r="17" spans="1:5" ht="15" customHeight="1" x14ac:dyDescent="0.25">
      <c r="A17" s="4"/>
      <c r="B17" s="4"/>
      <c r="C17" s="4"/>
      <c r="D17" s="4"/>
      <c r="E17">
        <f>COUNTIF('Relations'!$C$6:$C$102,A17)</f>
        <v>0</v>
      </c>
    </row>
    <row r="18" spans="1:5" ht="15" customHeight="1" x14ac:dyDescent="0.25">
      <c r="A18" s="4"/>
      <c r="B18" s="4"/>
      <c r="C18" s="4"/>
      <c r="D18" s="4"/>
      <c r="E18">
        <f>COUNTIF('Relations'!$C$6:$C$102,A18)</f>
        <v>0</v>
      </c>
    </row>
    <row r="19" spans="1:5" ht="15" customHeight="1" x14ac:dyDescent="0.25">
      <c r="A19" s="4"/>
      <c r="B19" s="4"/>
      <c r="C19" s="4"/>
      <c r="D19" s="4"/>
      <c r="E19">
        <f>COUNTIF('Relations'!$C$6:$C$102,A19)</f>
        <v>0</v>
      </c>
    </row>
    <row r="20" spans="1:5" ht="15" customHeight="1" x14ac:dyDescent="0.25">
      <c r="A20" s="4"/>
      <c r="B20" s="4"/>
      <c r="C20" s="4"/>
      <c r="D20" s="4"/>
      <c r="E20">
        <f>COUNTIF('Relations'!$C$6:$C$102,A20)</f>
        <v>0</v>
      </c>
    </row>
    <row r="21" spans="1:5" ht="15" customHeight="1" x14ac:dyDescent="0.25">
      <c r="A21" s="4"/>
      <c r="B21" s="4"/>
      <c r="C21" s="4"/>
      <c r="D21" s="4"/>
      <c r="E21">
        <f>COUNTIF('Relations'!$C$6:$C$102,A21)</f>
        <v>0</v>
      </c>
    </row>
    <row r="22" spans="1:5" ht="15.75" customHeight="1" x14ac:dyDescent="0.25">
      <c r="A22" s="4"/>
      <c r="B22" s="4"/>
      <c r="C22" s="4"/>
      <c r="D22" s="4"/>
      <c r="E22">
        <f>COUNTIF('Relations'!$C$6:$C$102,A22)</f>
        <v>0</v>
      </c>
    </row>
    <row r="23" spans="1:5" ht="15.75" customHeight="1" x14ac:dyDescent="0.25">
      <c r="A23" s="4"/>
      <c r="B23" s="4"/>
      <c r="C23" s="4"/>
      <c r="D23" s="4"/>
      <c r="E23">
        <f>COUNTIF('Relations'!$C$6:$C$102,A23)</f>
        <v>0</v>
      </c>
    </row>
    <row r="24" spans="1:5" ht="15.75" customHeight="1" x14ac:dyDescent="0.25">
      <c r="A24" s="4"/>
      <c r="B24" s="4"/>
      <c r="C24" s="4"/>
      <c r="D24" s="4"/>
      <c r="E24">
        <f>COUNTIF('Relations'!$C$6:$C$102,A24)</f>
        <v>0</v>
      </c>
    </row>
    <row r="25" spans="1:5" ht="15.75" customHeight="1" x14ac:dyDescent="0.25">
      <c r="A25" s="4"/>
      <c r="B25" s="4"/>
      <c r="C25" s="4"/>
      <c r="D25" s="4"/>
    </row>
    <row r="26" spans="1:5" ht="15.75" customHeight="1" x14ac:dyDescent="0.25">
      <c r="A26" s="4"/>
      <c r="B26" s="4"/>
      <c r="C26" s="4"/>
      <c r="D26" s="4"/>
    </row>
    <row r="27" spans="1:5" ht="15.75" customHeight="1" x14ac:dyDescent="0.25">
      <c r="A27" s="4"/>
      <c r="B27" s="4"/>
      <c r="C27" s="4"/>
      <c r="D27" s="4"/>
    </row>
    <row r="28" spans="1:5" ht="15.75" customHeight="1" x14ac:dyDescent="0.25">
      <c r="A28" s="4"/>
      <c r="B28" s="4"/>
      <c r="C28" s="4"/>
      <c r="D28" s="4"/>
    </row>
    <row r="29" spans="1:5" ht="15.75" customHeight="1" x14ac:dyDescent="0.25">
      <c r="A29" s="4"/>
      <c r="B29" s="4"/>
      <c r="C29" s="4"/>
      <c r="D29" s="4"/>
    </row>
    <row r="30" spans="1:5" ht="15.75" customHeight="1" x14ac:dyDescent="0.25">
      <c r="A30" s="4"/>
      <c r="B30" s="4"/>
      <c r="C30" s="4"/>
      <c r="D30" s="4"/>
    </row>
    <row r="31" spans="1:5" ht="15.75" customHeight="1" x14ac:dyDescent="0.25">
      <c r="A31" s="4"/>
      <c r="B31" s="4"/>
      <c r="C31" s="4"/>
      <c r="D31" s="4"/>
    </row>
    <row r="32" spans="1:5" ht="15.75" customHeight="1" x14ac:dyDescent="0.25">
      <c r="A32" s="4"/>
      <c r="B32" s="4"/>
      <c r="C32" s="4"/>
      <c r="D32" s="4"/>
    </row>
    <row r="33" spans="1:4" ht="15.75" customHeight="1" x14ac:dyDescent="0.25">
      <c r="A33" s="4"/>
      <c r="B33" s="4"/>
      <c r="C33" s="4"/>
      <c r="D33" s="4"/>
    </row>
    <row r="34" spans="1:4" ht="15.75" customHeight="1" x14ac:dyDescent="0.25">
      <c r="A34" s="4"/>
      <c r="B34" s="4"/>
      <c r="C34" s="4"/>
      <c r="D34" s="4"/>
    </row>
    <row r="35" spans="1:4" ht="15.75" customHeight="1" x14ac:dyDescent="0.25">
      <c r="A35" s="4"/>
      <c r="B35" s="4"/>
      <c r="C35" s="4"/>
      <c r="D35" s="4"/>
    </row>
    <row r="36" spans="1:4" ht="15.75" customHeight="1" x14ac:dyDescent="0.25">
      <c r="A36" s="4"/>
      <c r="B36" s="4"/>
      <c r="C36" s="4"/>
      <c r="D36" s="4"/>
    </row>
    <row r="37" spans="1:4" ht="15.75" customHeight="1" x14ac:dyDescent="0.25">
      <c r="A37" s="4"/>
      <c r="B37" s="4"/>
      <c r="C37" s="4"/>
      <c r="D37" s="4"/>
    </row>
    <row r="38" spans="1:4" ht="15.75" customHeight="1" x14ac:dyDescent="0.25">
      <c r="A38" s="4"/>
      <c r="B38" s="4"/>
      <c r="C38" s="4"/>
      <c r="D38" s="4"/>
    </row>
    <row r="39" spans="1:4" ht="15.75" customHeight="1" x14ac:dyDescent="0.25">
      <c r="A39" s="4"/>
      <c r="B39" s="4"/>
      <c r="C39" s="4"/>
      <c r="D39" s="4"/>
    </row>
    <row r="40" spans="1:4" ht="15.75" customHeight="1" x14ac:dyDescent="0.25">
      <c r="A40" s="4"/>
      <c r="B40" s="4"/>
      <c r="C40" s="4"/>
      <c r="D40" s="4"/>
    </row>
    <row r="41" spans="1:4" ht="15.75" customHeight="1" x14ac:dyDescent="0.25">
      <c r="A41" s="4"/>
      <c r="B41" s="4"/>
      <c r="C41" s="4"/>
      <c r="D41" s="4"/>
    </row>
    <row r="42" spans="1:4" ht="15.75" customHeight="1" x14ac:dyDescent="0.25">
      <c r="A42" s="4"/>
      <c r="B42" s="4"/>
      <c r="C42" s="4"/>
      <c r="D42" s="4"/>
    </row>
    <row r="43" spans="1:4" ht="15.75" customHeight="1" x14ac:dyDescent="0.25">
      <c r="A43" s="4"/>
      <c r="B43" s="4"/>
      <c r="C43" s="4"/>
      <c r="D43" s="4"/>
    </row>
    <row r="44" spans="1:4" ht="15.75" customHeight="1" x14ac:dyDescent="0.25">
      <c r="A44" s="4"/>
      <c r="B44" s="4"/>
      <c r="C44" s="4"/>
      <c r="D44" s="4"/>
    </row>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honeticPr fontId="14" type="noConversion"/>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9E654AB-922D-4D91-856B-BCEA3E988E23}">
          <x14:formula1>
            <xm:f>Summary!$E$10:$E$19</xm:f>
          </x14:formula1>
          <xm:sqref>C5:C44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2"/>
  <sheetViews>
    <sheetView tabSelected="1" zoomScale="112" zoomScaleNormal="145" workbookViewId="0">
      <pane ySplit="5" topLeftCell="A6" activePane="bottomLeft" state="frozen"/>
      <selection pane="bottomLeft" activeCell="E15" sqref="E15"/>
    </sheetView>
  </sheetViews>
  <sheetFormatPr defaultColWidth="14.42578125" defaultRowHeight="15" customHeight="1" x14ac:dyDescent="0.25"/>
  <cols>
    <col min="1" max="1" width="12.7109375" customWidth="1"/>
    <col min="2" max="2" width="35.7109375" customWidth="1"/>
    <col min="3" max="3" width="12.7109375" customWidth="1"/>
    <col min="4" max="7" width="35.7109375" customWidth="1"/>
    <col min="8" max="26" width="8.7109375" customWidth="1"/>
  </cols>
  <sheetData>
    <row r="1" spans="1:8" ht="15" customHeight="1" x14ac:dyDescent="0.25">
      <c r="A1" s="2" t="s">
        <v>35</v>
      </c>
      <c r="B1" s="6" t="str">
        <f>Summary!B1</f>
        <v>PL2 Guardian</v>
      </c>
    </row>
    <row r="2" spans="1:8" ht="15" customHeight="1" x14ac:dyDescent="0.25">
      <c r="A2" s="2"/>
      <c r="B2" s="6"/>
    </row>
    <row r="4" spans="1:8" ht="15" customHeight="1" x14ac:dyDescent="0.25">
      <c r="A4" s="37" t="s">
        <v>9</v>
      </c>
      <c r="B4" s="37"/>
      <c r="C4" s="37" t="s">
        <v>20</v>
      </c>
      <c r="D4" s="37"/>
      <c r="E4" s="37" t="s">
        <v>34</v>
      </c>
      <c r="F4" s="37"/>
      <c r="G4" s="37"/>
    </row>
    <row r="5" spans="1:8" x14ac:dyDescent="0.25">
      <c r="A5" s="1" t="s">
        <v>30</v>
      </c>
      <c r="B5" s="6" t="s">
        <v>32</v>
      </c>
      <c r="C5" s="1" t="s">
        <v>31</v>
      </c>
      <c r="D5" s="6" t="s">
        <v>33</v>
      </c>
      <c r="E5" s="1" t="s">
        <v>28</v>
      </c>
      <c r="F5" s="1" t="s">
        <v>29</v>
      </c>
      <c r="G5" s="1" t="s">
        <v>7</v>
      </c>
      <c r="H5" s="1"/>
    </row>
    <row r="6" spans="1:8" x14ac:dyDescent="0.25">
      <c r="A6" s="3" t="s">
        <v>1</v>
      </c>
      <c r="B6" t="str">
        <f>_xlfn.IFNA(VLOOKUP(A6,ASR[[#All],[ID]:[Name]],2,FALSE),"")</f>
        <v>Ativar Corredor de Iluminação</v>
      </c>
      <c r="C6" s="3" t="s">
        <v>4</v>
      </c>
      <c r="D6" t="str">
        <f>_xlfn.IFNA(VLOOKUP(C6,Arch[[#All],[ID]:[Name]],2,FALSE),"")</f>
        <v>Safety &amp; Climate Plugin</v>
      </c>
      <c r="E6" s="4" t="s">
        <v>215</v>
      </c>
      <c r="F6" s="4" t="s">
        <v>216</v>
      </c>
      <c r="G6" s="4"/>
      <c r="H6" s="1"/>
    </row>
    <row r="7" spans="1:8" x14ac:dyDescent="0.25">
      <c r="A7" s="3" t="s">
        <v>2</v>
      </c>
      <c r="B7" t="str">
        <f>_xlfn.IFNA(VLOOKUP(A7,ASR[[#All],[ID]:[Name]],2,FALSE),"")</f>
        <v>Ativar Despertar</v>
      </c>
      <c r="C7" s="3" t="s">
        <v>4</v>
      </c>
      <c r="D7" t="str">
        <f>_xlfn.IFNA(VLOOKUP(C7,Arch[[#All],[ID]:[Name]],2,FALSE),"")</f>
        <v>Safety &amp; Climate Plugin</v>
      </c>
      <c r="E7" s="4" t="s">
        <v>217</v>
      </c>
      <c r="F7" s="4" t="s">
        <v>218</v>
      </c>
      <c r="G7" s="4"/>
      <c r="H7" s="1"/>
    </row>
    <row r="8" spans="1:8" x14ac:dyDescent="0.25">
      <c r="A8" s="4" t="s">
        <v>95</v>
      </c>
      <c r="B8" t="str">
        <f>_xlfn.IFNA(VLOOKUP(A8,ASR[[#All],[ID]:[Name]],2,FALSE),"")</f>
        <v>Gerir Clima</v>
      </c>
      <c r="C8" s="4" t="s">
        <v>4</v>
      </c>
      <c r="D8" t="str">
        <f>_xlfn.IFNA(VLOOKUP(C8,Arch[[#All],[ID]:[Name]],2,FALSE),"")</f>
        <v>Safety &amp; Climate Plugin</v>
      </c>
      <c r="E8" s="4" t="s">
        <v>219</v>
      </c>
      <c r="F8" s="4" t="s">
        <v>237</v>
      </c>
      <c r="G8" s="4"/>
      <c r="H8" s="1"/>
    </row>
    <row r="9" spans="1:8" x14ac:dyDescent="0.25">
      <c r="A9" s="4" t="s">
        <v>98</v>
      </c>
      <c r="B9" t="str">
        <f>_xlfn.IFNA(VLOOKUP(A9,ASR[[#All],[ID]:[Name]],2,FALSE),"")</f>
        <v>Notificar Cuidador sobre Anomalia Comportamental</v>
      </c>
      <c r="C9" s="4" t="s">
        <v>4</v>
      </c>
      <c r="D9" t="str">
        <f>_xlfn.IFNA(VLOOKUP(C9,Arch[[#All],[ID]:[Name]],2,FALSE),"")</f>
        <v>Safety &amp; Climate Plugin</v>
      </c>
      <c r="E9" s="4" t="s">
        <v>238</v>
      </c>
      <c r="F9" s="4" t="s">
        <v>220</v>
      </c>
      <c r="G9" s="4"/>
      <c r="H9" s="1"/>
    </row>
    <row r="10" spans="1:8" x14ac:dyDescent="0.25">
      <c r="A10" s="4" t="s">
        <v>98</v>
      </c>
      <c r="B10" t="str">
        <f>_xlfn.IFNA(VLOOKUP(A10,ASR[[#All],[ID]:[Name]],2,FALSE),"")</f>
        <v>Notificar Cuidador sobre Anomalia Comportamental</v>
      </c>
      <c r="C10" s="4" t="s">
        <v>189</v>
      </c>
      <c r="D10" t="str">
        <f>_xlfn.IFNA(VLOOKUP(C10,Arch[[#All],[ID]:[Name]],2,FALSE),"")</f>
        <v>ML Plugin</v>
      </c>
      <c r="E10" s="4" t="s">
        <v>222</v>
      </c>
      <c r="F10" s="4" t="s">
        <v>221</v>
      </c>
      <c r="G10" s="4"/>
      <c r="H10" s="1"/>
    </row>
    <row r="11" spans="1:8" x14ac:dyDescent="0.25">
      <c r="A11" s="4" t="s">
        <v>123</v>
      </c>
      <c r="B11" t="str">
        <f>_xlfn.IFNA(VLOOKUP(A11,ASR[[#All],[ID]:[Name]],2,FALSE),"")</f>
        <v>Integração do Home Assistant - Integrability</v>
      </c>
      <c r="C11" s="4" t="s">
        <v>190</v>
      </c>
      <c r="D11" t="str">
        <f>_xlfn.IFNA(VLOOKUP(C11,Arch[[#All],[ID]:[Name]],2,FALSE),"")</f>
        <v>HA Integration Plugin</v>
      </c>
      <c r="E11" s="4" t="s">
        <v>224</v>
      </c>
      <c r="F11" s="4" t="s">
        <v>223</v>
      </c>
      <c r="G11" s="4"/>
      <c r="H11" s="1"/>
    </row>
    <row r="12" spans="1:8" x14ac:dyDescent="0.25">
      <c r="A12" s="4" t="s">
        <v>129</v>
      </c>
      <c r="B12" t="str">
        <f>_xlfn.IFNA(VLOOKUP(A12,ASR[[#All],[ID]:[Name]],2,FALSE),"")</f>
        <v>Segurança e proteção dos dados - Security</v>
      </c>
      <c r="C12" s="4" t="s">
        <v>191</v>
      </c>
      <c r="D12" t="str">
        <f>_xlfn.IFNA(VLOOKUP(C12,Arch[[#All],[ID]:[Name]],2,FALSE),"")</f>
        <v>API Gateway Plugin</v>
      </c>
      <c r="E12" s="4" t="s">
        <v>225</v>
      </c>
      <c r="F12" s="4" t="s">
        <v>226</v>
      </c>
      <c r="G12" s="4"/>
      <c r="H12" s="1"/>
    </row>
    <row r="13" spans="1:8" x14ac:dyDescent="0.25">
      <c r="A13" s="4" t="s">
        <v>120</v>
      </c>
      <c r="B13" t="str">
        <f>_xlfn.IFNA(VLOOKUP(A13,ASR[[#All],[ID]:[Name]],2,FALSE),"")</f>
        <v>Desempenho do sistema - Performance</v>
      </c>
      <c r="C13" s="4" t="s">
        <v>193</v>
      </c>
      <c r="D13" t="str">
        <f>_xlfn.IFNA(VLOOKUP(C13,Arch[[#All],[ID]:[Name]],2,FALSE),"")</f>
        <v>Event Bus</v>
      </c>
      <c r="E13" s="4" t="s">
        <v>228</v>
      </c>
      <c r="F13" s="4" t="s">
        <v>227</v>
      </c>
      <c r="G13" s="4"/>
      <c r="H13" s="1"/>
    </row>
    <row r="14" spans="1:8" ht="15" customHeight="1" x14ac:dyDescent="0.25">
      <c r="A14" s="4" t="s">
        <v>114</v>
      </c>
      <c r="B14" s="38" t="str">
        <f>_xlfn.IFNA(VLOOKUP(A14,ASR[[#All],[ID]:[Name]],2,FALSE),"")</f>
        <v>Confiabilidade do Sistema - Realiability</v>
      </c>
      <c r="C14" s="4" t="s">
        <v>194</v>
      </c>
      <c r="D14" s="39" t="str">
        <f>_xlfn.IFNA(VLOOKUP(C14,Arch[[#All],[ID]:[Name]],2,FALSE),"")</f>
        <v>Plugin Manager</v>
      </c>
      <c r="E14" s="4" t="s">
        <v>229</v>
      </c>
      <c r="F14" s="4" t="s">
        <v>230</v>
      </c>
      <c r="G14" s="4"/>
    </row>
    <row r="15" spans="1:8" ht="15" customHeight="1" x14ac:dyDescent="0.25">
      <c r="A15" s="4" t="s">
        <v>110</v>
      </c>
      <c r="B15" s="38" t="str">
        <f>_xlfn.IFNA(VLOOKUP(A15,ASR[[#All],[ID]:[Name]],2,FALSE),"")</f>
        <v>Configurar Lembretes (Interface do Cuidador)</v>
      </c>
      <c r="C15" s="4" t="s">
        <v>195</v>
      </c>
      <c r="D15" s="39" t="str">
        <f>_xlfn.IFNA(VLOOKUP(C15,Arch[[#All],[ID]:[Name]],2,FALSE),"")</f>
        <v>Caregiver Interface</v>
      </c>
      <c r="E15" s="40" t="s">
        <v>232</v>
      </c>
      <c r="F15" s="4" t="s">
        <v>231</v>
      </c>
      <c r="G15" s="4"/>
    </row>
    <row r="16" spans="1:8" ht="15" customHeight="1" x14ac:dyDescent="0.25">
      <c r="A16" s="4" t="s">
        <v>101</v>
      </c>
      <c r="B16" s="38" t="str">
        <f>_xlfn.IFNA(VLOOKUP(A16,ASR[[#All],[ID]:[Name]],2,FALSE),"")</f>
        <v>Gerir Automações (Interface do Idoso)</v>
      </c>
      <c r="C16" s="4" t="s">
        <v>196</v>
      </c>
      <c r="D16" s="39" t="str">
        <f>_xlfn.IFNA(VLOOKUP(C16,Arch[[#All],[ID]:[Name]],2,FALSE),"")</f>
        <v>Elderly Interface</v>
      </c>
      <c r="E16" s="4" t="s">
        <v>234</v>
      </c>
      <c r="F16" s="4" t="s">
        <v>233</v>
      </c>
      <c r="G16" s="4"/>
    </row>
    <row r="17" spans="1:7" ht="15" customHeight="1" x14ac:dyDescent="0.25">
      <c r="A17" s="4" t="s">
        <v>129</v>
      </c>
      <c r="B17" s="38" t="str">
        <f>_xlfn.IFNA(VLOOKUP(A17,ASR[[#All],[ID]:[Name]],2,FALSE),"")</f>
        <v>Segurança e proteção dos dados - Security</v>
      </c>
      <c r="C17" s="4" t="s">
        <v>3</v>
      </c>
      <c r="D17" s="39" t="str">
        <f>_xlfn.IFNA(VLOOKUP(C17,Arch[[#All],[ID]:[Name]],2,FALSE),"")</f>
        <v>Persistence Plugin</v>
      </c>
      <c r="E17" s="4" t="s">
        <v>235</v>
      </c>
      <c r="F17" s="4" t="s">
        <v>236</v>
      </c>
      <c r="G17" s="4"/>
    </row>
    <row r="18" spans="1:7" ht="15" customHeight="1" x14ac:dyDescent="0.25">
      <c r="A18" s="4"/>
      <c r="B18" s="38"/>
      <c r="C18" s="4"/>
      <c r="D18" s="39"/>
      <c r="E18" s="4"/>
      <c r="F18" s="4"/>
      <c r="G18" s="4"/>
    </row>
    <row r="19" spans="1:7" ht="15" customHeight="1" x14ac:dyDescent="0.25">
      <c r="A19" s="4"/>
      <c r="B19" t="str">
        <f>_xlfn.IFNA(VLOOKUP(A19,ASR[[#All],[ID]:[Name]],2,FALSE),"")</f>
        <v/>
      </c>
      <c r="C19" s="4"/>
      <c r="D19" t="str">
        <f>_xlfn.IFNA(VLOOKUP(C19,Arch[[#All],[ID]:[Name]],2,FALSE),"")</f>
        <v/>
      </c>
      <c r="E19" s="4"/>
      <c r="F19" s="4"/>
      <c r="G19" s="4"/>
    </row>
    <row r="20" spans="1:7" ht="15" customHeight="1" x14ac:dyDescent="0.25">
      <c r="A20" s="4"/>
      <c r="B20" t="str">
        <f>_xlfn.IFNA(VLOOKUP(A20,ASR[[#All],[ID]:[Name]],2,FALSE),"")</f>
        <v/>
      </c>
      <c r="C20" s="4"/>
      <c r="D20" t="str">
        <f>_xlfn.IFNA(VLOOKUP(C20,Arch[[#All],[ID]:[Name]],2,FALSE),"")</f>
        <v/>
      </c>
      <c r="E20" s="4"/>
      <c r="F20" s="4"/>
      <c r="G20" s="4"/>
    </row>
    <row r="21" spans="1:7" ht="15" customHeight="1" x14ac:dyDescent="0.25">
      <c r="A21" s="4"/>
      <c r="B21" t="str">
        <f>_xlfn.IFNA(VLOOKUP(A21,ASR[[#All],[ID]:[Name]],2,FALSE),"")</f>
        <v/>
      </c>
      <c r="C21" s="4"/>
      <c r="D21" t="str">
        <f>_xlfn.IFNA(VLOOKUP(C21,Arch[[#All],[ID]:[Name]],2,FALSE),"")</f>
        <v/>
      </c>
      <c r="E21" s="4"/>
      <c r="F21" s="4"/>
      <c r="G21" s="4"/>
    </row>
    <row r="22" spans="1:7" ht="15" customHeight="1" x14ac:dyDescent="0.25">
      <c r="A22" s="4"/>
      <c r="B22" t="str">
        <f>_xlfn.IFNA(VLOOKUP(A22,ASR[[#All],[ID]:[Name]],2,FALSE),"")</f>
        <v/>
      </c>
      <c r="C22" s="4"/>
      <c r="D22" t="str">
        <f>_xlfn.IFNA(VLOOKUP(C22,Arch[[#All],[ID]:[Name]],2,FALSE),"")</f>
        <v/>
      </c>
      <c r="E22" s="4"/>
      <c r="F22" s="4"/>
      <c r="G22" s="4"/>
    </row>
    <row r="23" spans="1:7" ht="15.75" customHeight="1" x14ac:dyDescent="0.25">
      <c r="A23" s="4"/>
      <c r="B23" t="str">
        <f>_xlfn.IFNA(VLOOKUP(A23,ASR[[#All],[ID]:[Name]],2,FALSE),"")</f>
        <v/>
      </c>
      <c r="C23" s="4"/>
      <c r="D23" t="str">
        <f>_xlfn.IFNA(VLOOKUP(C23,Arch[[#All],[ID]:[Name]],2,FALSE),"")</f>
        <v/>
      </c>
      <c r="E23" s="4"/>
      <c r="F23" s="4"/>
      <c r="G23" s="4"/>
    </row>
    <row r="24" spans="1:7" ht="15.75" customHeight="1" x14ac:dyDescent="0.25">
      <c r="A24" s="4"/>
      <c r="B24" t="str">
        <f>_xlfn.IFNA(VLOOKUP(A24,ASR[[#All],[ID]:[Name]],2,FALSE),"")</f>
        <v/>
      </c>
      <c r="C24" s="4"/>
      <c r="D24" t="str">
        <f>_xlfn.IFNA(VLOOKUP(C24,Arch[[#All],[ID]:[Name]],2,FALSE),"")</f>
        <v/>
      </c>
      <c r="E24" s="4"/>
      <c r="F24" s="4"/>
      <c r="G24" s="4"/>
    </row>
    <row r="25" spans="1:7" ht="15.75" customHeight="1" x14ac:dyDescent="0.25">
      <c r="A25" s="4"/>
      <c r="B25" t="str">
        <f>_xlfn.IFNA(VLOOKUP(A25,ASR[[#All],[ID]:[Name]],2,FALSE),"")</f>
        <v/>
      </c>
      <c r="C25" s="4"/>
      <c r="D25" t="str">
        <f>_xlfn.IFNA(VLOOKUP(C25,Arch[[#All],[ID]:[Name]],2,FALSE),"")</f>
        <v/>
      </c>
      <c r="E25" s="4"/>
      <c r="F25" s="4"/>
      <c r="G25" s="4"/>
    </row>
    <row r="26" spans="1:7" ht="15.75" customHeight="1" x14ac:dyDescent="0.25">
      <c r="A26" s="4"/>
      <c r="B26" t="str">
        <f>_xlfn.IFNA(VLOOKUP(A26,ASR[[#All],[ID]:[Name]],2,FALSE),"")</f>
        <v/>
      </c>
      <c r="C26" s="4"/>
      <c r="D26" t="str">
        <f>_xlfn.IFNA(VLOOKUP(C26,Arch[[#All],[ID]:[Name]],2,FALSE),"")</f>
        <v/>
      </c>
      <c r="E26" s="4"/>
      <c r="F26" s="4"/>
      <c r="G26" s="4"/>
    </row>
    <row r="27" spans="1:7" ht="15.75" customHeight="1" x14ac:dyDescent="0.25">
      <c r="A27" s="4"/>
      <c r="B27" t="str">
        <f>_xlfn.IFNA(VLOOKUP(A27,ASR[[#All],[ID]:[Name]],2,FALSE),"")</f>
        <v/>
      </c>
      <c r="C27" s="4"/>
      <c r="D27" t="str">
        <f>_xlfn.IFNA(VLOOKUP(C27,Arch[[#All],[ID]:[Name]],2,FALSE),"")</f>
        <v/>
      </c>
      <c r="E27" s="4"/>
      <c r="F27" s="4"/>
      <c r="G27" s="4"/>
    </row>
    <row r="28" spans="1:7" ht="15.75" customHeight="1" x14ac:dyDescent="0.25">
      <c r="A28" s="4"/>
      <c r="B28" t="str">
        <f>_xlfn.IFNA(VLOOKUP(A28,ASR[[#All],[ID]:[Name]],2,FALSE),"")</f>
        <v/>
      </c>
      <c r="C28" s="4"/>
      <c r="D28" t="str">
        <f>_xlfn.IFNA(VLOOKUP(C28,Arch[[#All],[ID]:[Name]],2,FALSE),"")</f>
        <v/>
      </c>
      <c r="E28" s="4"/>
      <c r="F28" s="4"/>
      <c r="G28" s="4"/>
    </row>
    <row r="29" spans="1:7" ht="15.75" customHeight="1" x14ac:dyDescent="0.25">
      <c r="A29" s="4"/>
      <c r="B29" t="str">
        <f>_xlfn.IFNA(VLOOKUP(A29,ASR[[#All],[ID]:[Name]],2,FALSE),"")</f>
        <v/>
      </c>
      <c r="C29" s="4"/>
      <c r="D29" t="str">
        <f>_xlfn.IFNA(VLOOKUP(C29,Arch[[#All],[ID]:[Name]],2,FALSE),"")</f>
        <v/>
      </c>
      <c r="E29" s="4"/>
      <c r="F29" s="4"/>
      <c r="G29" s="4"/>
    </row>
    <row r="30" spans="1:7" ht="15.75" customHeight="1" x14ac:dyDescent="0.25">
      <c r="A30" s="4"/>
      <c r="B30" t="str">
        <f>_xlfn.IFNA(VLOOKUP(A30,ASR[[#All],[ID]:[Name]],2,FALSE),"")</f>
        <v/>
      </c>
      <c r="C30" s="4"/>
      <c r="D30" t="str">
        <f>_xlfn.IFNA(VLOOKUP(C30,Arch[[#All],[ID]:[Name]],2,FALSE),"")</f>
        <v/>
      </c>
      <c r="E30" s="4"/>
      <c r="F30" s="4"/>
      <c r="G30" s="4"/>
    </row>
    <row r="31" spans="1:7" ht="15.75" customHeight="1" x14ac:dyDescent="0.25">
      <c r="A31" s="4"/>
      <c r="B31" t="str">
        <f>_xlfn.IFNA(VLOOKUP(A31,ASR[[#All],[ID]:[Name]],2,FALSE),"")</f>
        <v/>
      </c>
      <c r="C31" s="4"/>
      <c r="D31" t="str">
        <f>_xlfn.IFNA(VLOOKUP(C31,Arch[[#All],[ID]:[Name]],2,FALSE),"")</f>
        <v/>
      </c>
      <c r="E31" s="4"/>
      <c r="F31" s="4"/>
      <c r="G31" s="4"/>
    </row>
    <row r="32" spans="1:7" ht="15.75" customHeight="1" x14ac:dyDescent="0.25">
      <c r="A32" s="4"/>
      <c r="B32" t="str">
        <f>_xlfn.IFNA(VLOOKUP(A32,ASR[[#All],[ID]:[Name]],2,FALSE),"")</f>
        <v/>
      </c>
      <c r="C32" s="4"/>
      <c r="D32" t="str">
        <f>_xlfn.IFNA(VLOOKUP(C32,Arch[[#All],[ID]:[Name]],2,FALSE),"")</f>
        <v/>
      </c>
      <c r="E32" s="4"/>
      <c r="F32" s="4"/>
      <c r="G32" s="4"/>
    </row>
    <row r="33" spans="1:7" ht="15.75" customHeight="1" x14ac:dyDescent="0.25">
      <c r="A33" s="4"/>
      <c r="B33" t="str">
        <f>_xlfn.IFNA(VLOOKUP(A33,ASR[[#All],[ID]:[Name]],2,FALSE),"")</f>
        <v/>
      </c>
      <c r="C33" s="4"/>
      <c r="D33" t="str">
        <f>_xlfn.IFNA(VLOOKUP(C33,Arch[[#All],[ID]:[Name]],2,FALSE),"")</f>
        <v/>
      </c>
      <c r="E33" s="4"/>
      <c r="F33" s="4"/>
      <c r="G33" s="4"/>
    </row>
    <row r="34" spans="1:7" ht="15.75" customHeight="1" x14ac:dyDescent="0.25">
      <c r="A34" s="4"/>
      <c r="B34" t="str">
        <f>_xlfn.IFNA(VLOOKUP(A34,ASR[[#All],[ID]:[Name]],2,FALSE),"")</f>
        <v/>
      </c>
      <c r="C34" s="4"/>
      <c r="D34" t="str">
        <f>_xlfn.IFNA(VLOOKUP(C34,Arch[[#All],[ID]:[Name]],2,FALSE),"")</f>
        <v/>
      </c>
      <c r="E34" s="4"/>
      <c r="F34" s="4"/>
      <c r="G34" s="4"/>
    </row>
    <row r="35" spans="1:7" ht="15.75" customHeight="1" x14ac:dyDescent="0.25">
      <c r="A35" s="4"/>
      <c r="B35" t="str">
        <f>_xlfn.IFNA(VLOOKUP(A35,ASR[[#All],[ID]:[Name]],2,FALSE),"")</f>
        <v/>
      </c>
      <c r="C35" s="4"/>
      <c r="D35" t="str">
        <f>_xlfn.IFNA(VLOOKUP(C35,Arch[[#All],[ID]:[Name]],2,FALSE),"")</f>
        <v/>
      </c>
      <c r="E35" s="4"/>
      <c r="F35" s="4"/>
      <c r="G35" s="4"/>
    </row>
    <row r="36" spans="1:7" ht="15.75" customHeight="1" x14ac:dyDescent="0.25">
      <c r="A36" s="4"/>
      <c r="B36" t="str">
        <f>_xlfn.IFNA(VLOOKUP(A36,ASR[[#All],[ID]:[Name]],2,FALSE),"")</f>
        <v/>
      </c>
      <c r="C36" s="4"/>
      <c r="D36" t="str">
        <f>_xlfn.IFNA(VLOOKUP(C36,Arch[[#All],[ID]:[Name]],2,FALSE),"")</f>
        <v/>
      </c>
      <c r="E36" s="4"/>
      <c r="F36" s="4"/>
      <c r="G36" s="4"/>
    </row>
    <row r="37" spans="1:7" ht="15.75" customHeight="1" x14ac:dyDescent="0.25">
      <c r="A37" s="4"/>
      <c r="B37" t="str">
        <f>_xlfn.IFNA(VLOOKUP(A37,ASR[[#All],[ID]:[Name]],2,FALSE),"")</f>
        <v/>
      </c>
      <c r="C37" s="4"/>
      <c r="D37" t="str">
        <f>_xlfn.IFNA(VLOOKUP(C37,Arch[[#All],[ID]:[Name]],2,FALSE),"")</f>
        <v/>
      </c>
      <c r="E37" s="4"/>
      <c r="F37" s="4"/>
      <c r="G37" s="4"/>
    </row>
    <row r="38" spans="1:7" ht="15.75" customHeight="1" x14ac:dyDescent="0.25">
      <c r="A38" s="4"/>
      <c r="B38" t="str">
        <f>_xlfn.IFNA(VLOOKUP(A38,ASR[[#All],[ID]:[Name]],2,FALSE),"")</f>
        <v/>
      </c>
      <c r="C38" s="4"/>
      <c r="D38" t="str">
        <f>_xlfn.IFNA(VLOOKUP(C38,Arch[[#All],[ID]:[Name]],2,FALSE),"")</f>
        <v/>
      </c>
      <c r="E38" s="4"/>
      <c r="F38" s="4"/>
      <c r="G38" s="4"/>
    </row>
    <row r="39" spans="1:7" ht="15.75" customHeight="1" x14ac:dyDescent="0.25">
      <c r="A39" s="4"/>
      <c r="B39" t="str">
        <f>_xlfn.IFNA(VLOOKUP(A39,ASR[[#All],[ID]:[Name]],2,FALSE),"")</f>
        <v/>
      </c>
      <c r="C39" s="4"/>
      <c r="D39" t="str">
        <f>_xlfn.IFNA(VLOOKUP(C39,Arch[[#All],[ID]:[Name]],2,FALSE),"")</f>
        <v/>
      </c>
      <c r="E39" s="4"/>
      <c r="F39" s="4"/>
      <c r="G39" s="4"/>
    </row>
    <row r="40" spans="1:7" ht="15.75" customHeight="1" x14ac:dyDescent="0.25">
      <c r="A40" s="4"/>
      <c r="B40" t="str">
        <f>_xlfn.IFNA(VLOOKUP(A40,ASR[[#All],[ID]:[Name]],2,FALSE),"")</f>
        <v/>
      </c>
      <c r="C40" s="4"/>
      <c r="D40" t="str">
        <f>_xlfn.IFNA(VLOOKUP(C40,Arch[[#All],[ID]:[Name]],2,FALSE),"")</f>
        <v/>
      </c>
      <c r="E40" s="4"/>
      <c r="F40" s="4"/>
      <c r="G40" s="4"/>
    </row>
    <row r="41" spans="1:7" ht="15.75" customHeight="1" x14ac:dyDescent="0.25">
      <c r="A41" s="4"/>
      <c r="B41" t="str">
        <f>_xlfn.IFNA(VLOOKUP(A41,ASR[[#All],[ID]:[Name]],2,FALSE),"")</f>
        <v/>
      </c>
      <c r="C41" s="4"/>
      <c r="D41" t="str">
        <f>_xlfn.IFNA(VLOOKUP(C41,Arch[[#All],[ID]:[Name]],2,FALSE),"")</f>
        <v/>
      </c>
      <c r="E41" s="4"/>
      <c r="F41" s="4"/>
      <c r="G41" s="4"/>
    </row>
    <row r="42" spans="1:7" ht="15.75" customHeight="1" x14ac:dyDescent="0.25">
      <c r="A42" s="4"/>
      <c r="B42" t="str">
        <f>_xlfn.IFNA(VLOOKUP(A42,ASR[[#All],[ID]:[Name]],2,FALSE),"")</f>
        <v/>
      </c>
      <c r="C42" s="4"/>
      <c r="D42" t="str">
        <f>_xlfn.IFNA(VLOOKUP(C42,Arch[[#All],[ID]:[Name]],2,FALSE),"")</f>
        <v/>
      </c>
      <c r="E42" s="4"/>
      <c r="F42" s="4"/>
      <c r="G42" s="4"/>
    </row>
    <row r="43" spans="1:7" ht="15.75" customHeight="1" x14ac:dyDescent="0.25">
      <c r="A43" s="4"/>
      <c r="B43" t="str">
        <f>_xlfn.IFNA(VLOOKUP(A43,ASR[[#All],[ID]:[Name]],2,FALSE),"")</f>
        <v/>
      </c>
      <c r="C43" s="4"/>
      <c r="D43" t="str">
        <f>_xlfn.IFNA(VLOOKUP(C43,Arch[[#All],[ID]:[Name]],2,FALSE),"")</f>
        <v/>
      </c>
      <c r="E43" s="4"/>
      <c r="F43" s="4"/>
      <c r="G43" s="4"/>
    </row>
    <row r="44" spans="1:7" ht="15.75" customHeight="1" x14ac:dyDescent="0.25">
      <c r="A44" s="4"/>
      <c r="B44" t="str">
        <f>_xlfn.IFNA(VLOOKUP(A44,ASR[[#All],[ID]:[Name]],2,FALSE),"")</f>
        <v/>
      </c>
      <c r="C44" s="4"/>
      <c r="D44" t="str">
        <f>_xlfn.IFNA(VLOOKUP(C44,Arch[[#All],[ID]:[Name]],2,FALSE),"")</f>
        <v/>
      </c>
      <c r="E44" s="4"/>
      <c r="F44" s="4"/>
      <c r="G44" s="4"/>
    </row>
    <row r="45" spans="1:7" ht="15.75" customHeight="1" x14ac:dyDescent="0.25">
      <c r="A45" s="4"/>
      <c r="B45" t="str">
        <f>_xlfn.IFNA(VLOOKUP(A45,ASR[[#All],[ID]:[Name]],2,FALSE),"")</f>
        <v/>
      </c>
      <c r="C45" s="4"/>
      <c r="D45" t="str">
        <f>_xlfn.IFNA(VLOOKUP(C45,Arch[[#All],[ID]:[Name]],2,FALSE),"")</f>
        <v/>
      </c>
      <c r="E45" s="4"/>
      <c r="F45" s="4"/>
      <c r="G45" s="4"/>
    </row>
    <row r="46" spans="1:7" ht="15.75" customHeight="1" x14ac:dyDescent="0.25">
      <c r="A46" s="4"/>
      <c r="B46" t="str">
        <f>_xlfn.IFNA(VLOOKUP(A46,ASR[[#All],[ID]:[Name]],2,FALSE),"")</f>
        <v/>
      </c>
      <c r="C46" s="4"/>
      <c r="D46" t="str">
        <f>_xlfn.IFNA(VLOOKUP(C46,Arch[[#All],[ID]:[Name]],2,FALSE),"")</f>
        <v/>
      </c>
      <c r="E46" s="4"/>
      <c r="F46" s="4"/>
      <c r="G46" s="4"/>
    </row>
    <row r="47" spans="1:7" ht="15.75" customHeight="1" x14ac:dyDescent="0.25">
      <c r="A47" s="4"/>
      <c r="B47" t="str">
        <f>_xlfn.IFNA(VLOOKUP(A47,ASR[[#All],[ID]:[Name]],2,FALSE),"")</f>
        <v/>
      </c>
      <c r="C47" s="4"/>
      <c r="D47" t="str">
        <f>_xlfn.IFNA(VLOOKUP(C47,Arch[[#All],[ID]:[Name]],2,FALSE),"")</f>
        <v/>
      </c>
      <c r="E47" s="4"/>
      <c r="F47" s="4"/>
      <c r="G47" s="4"/>
    </row>
    <row r="48" spans="1:7" ht="15.75" customHeight="1" x14ac:dyDescent="0.25">
      <c r="A48" s="4"/>
      <c r="B48" t="str">
        <f>_xlfn.IFNA(VLOOKUP(A48,ASR[[#All],[ID]:[Name]],2,FALSE),"")</f>
        <v/>
      </c>
      <c r="C48" s="4"/>
      <c r="D48" t="str">
        <f>_xlfn.IFNA(VLOOKUP(C48,Arch[[#All],[ID]:[Name]],2,FALSE),"")</f>
        <v/>
      </c>
      <c r="E48" s="4"/>
      <c r="F48" s="4"/>
      <c r="G48" s="4"/>
    </row>
    <row r="49" spans="1:7" ht="15.75" customHeight="1" x14ac:dyDescent="0.25">
      <c r="A49" s="4"/>
      <c r="B49" t="str">
        <f>_xlfn.IFNA(VLOOKUP(A49,ASR[[#All],[ID]:[Name]],2,FALSE),"")</f>
        <v/>
      </c>
      <c r="C49" s="4"/>
      <c r="D49" t="str">
        <f>_xlfn.IFNA(VLOOKUP(C49,Arch[[#All],[ID]:[Name]],2,FALSE),"")</f>
        <v/>
      </c>
      <c r="E49" s="4"/>
      <c r="F49" s="4"/>
      <c r="G49" s="4"/>
    </row>
    <row r="50" spans="1:7" ht="15.75" customHeight="1" x14ac:dyDescent="0.25">
      <c r="A50" s="4"/>
      <c r="B50" t="str">
        <f>_xlfn.IFNA(VLOOKUP(A50,ASR[[#All],[ID]:[Name]],2,FALSE),"")</f>
        <v/>
      </c>
      <c r="C50" s="4"/>
      <c r="D50" t="str">
        <f>_xlfn.IFNA(VLOOKUP(C50,Arch[[#All],[ID]:[Name]],2,FALSE),"")</f>
        <v/>
      </c>
      <c r="E50" s="4"/>
      <c r="F50" s="4"/>
      <c r="G50" s="4"/>
    </row>
    <row r="51" spans="1:7" ht="15.75" customHeight="1" x14ac:dyDescent="0.25">
      <c r="A51" s="4"/>
      <c r="B51" t="str">
        <f>_xlfn.IFNA(VLOOKUP(A51,ASR[[#All],[ID]:[Name]],2,FALSE),"")</f>
        <v/>
      </c>
      <c r="C51" s="4"/>
      <c r="D51" t="str">
        <f>_xlfn.IFNA(VLOOKUP(C51,Arch[[#All],[ID]:[Name]],2,FALSE),"")</f>
        <v/>
      </c>
      <c r="E51" s="4"/>
      <c r="F51" s="4"/>
      <c r="G51" s="4"/>
    </row>
    <row r="52" spans="1:7" ht="15.75" customHeight="1" x14ac:dyDescent="0.25">
      <c r="A52" s="4"/>
      <c r="B52" t="str">
        <f>_xlfn.IFNA(VLOOKUP(A52,ASR[[#All],[ID]:[Name]],2,FALSE),"")</f>
        <v/>
      </c>
      <c r="C52" s="4"/>
      <c r="D52" t="str">
        <f>_xlfn.IFNA(VLOOKUP(C52,Arch[[#All],[ID]:[Name]],2,FALSE),"")</f>
        <v/>
      </c>
      <c r="E52" s="4"/>
      <c r="F52" s="4"/>
      <c r="G52" s="4"/>
    </row>
    <row r="53" spans="1:7" ht="15.75" customHeight="1" x14ac:dyDescent="0.25">
      <c r="A53" s="4"/>
      <c r="B53" t="str">
        <f>_xlfn.IFNA(VLOOKUP(A53,ASR[[#All],[ID]:[Name]],2,FALSE),"")</f>
        <v/>
      </c>
      <c r="C53" s="4"/>
      <c r="D53" t="str">
        <f>_xlfn.IFNA(VLOOKUP(C53,Arch[[#All],[ID]:[Name]],2,FALSE),"")</f>
        <v/>
      </c>
      <c r="E53" s="4"/>
      <c r="F53" s="4"/>
      <c r="G53" s="4"/>
    </row>
    <row r="54" spans="1:7" ht="15.75" customHeight="1" x14ac:dyDescent="0.25">
      <c r="A54" s="4"/>
      <c r="B54" t="str">
        <f>_xlfn.IFNA(VLOOKUP(A54,ASR[[#All],[ID]:[Name]],2,FALSE),"")</f>
        <v/>
      </c>
      <c r="C54" s="4"/>
      <c r="D54" t="str">
        <f>_xlfn.IFNA(VLOOKUP(C54,Arch[[#All],[ID]:[Name]],2,FALSE),"")</f>
        <v/>
      </c>
      <c r="E54" s="4"/>
      <c r="F54" s="4"/>
      <c r="G54" s="4"/>
    </row>
    <row r="55" spans="1:7" ht="15.75" customHeight="1" x14ac:dyDescent="0.25">
      <c r="A55" s="4"/>
      <c r="B55" t="str">
        <f>_xlfn.IFNA(VLOOKUP(A55,ASR[[#All],[ID]:[Name]],2,FALSE),"")</f>
        <v/>
      </c>
      <c r="C55" s="4"/>
      <c r="D55" t="str">
        <f>_xlfn.IFNA(VLOOKUP(C55,Arch[[#All],[ID]:[Name]],2,FALSE),"")</f>
        <v/>
      </c>
      <c r="E55" s="4"/>
      <c r="F55" s="4"/>
      <c r="G55" s="4"/>
    </row>
    <row r="56" spans="1:7" ht="15.75" customHeight="1" x14ac:dyDescent="0.25">
      <c r="A56" s="4"/>
      <c r="B56" t="str">
        <f>_xlfn.IFNA(VLOOKUP(A56,ASR[[#All],[ID]:[Name]],2,FALSE),"")</f>
        <v/>
      </c>
      <c r="C56" s="4"/>
      <c r="D56" t="str">
        <f>_xlfn.IFNA(VLOOKUP(C56,Arch[[#All],[ID]:[Name]],2,FALSE),"")</f>
        <v/>
      </c>
      <c r="E56" s="4"/>
      <c r="F56" s="4"/>
      <c r="G56" s="4"/>
    </row>
    <row r="57" spans="1:7" ht="15.75" customHeight="1" x14ac:dyDescent="0.25">
      <c r="A57" s="4"/>
      <c r="B57" t="str">
        <f>_xlfn.IFNA(VLOOKUP(A57,ASR[[#All],[ID]:[Name]],2,FALSE),"")</f>
        <v/>
      </c>
      <c r="C57" s="4"/>
      <c r="D57" t="str">
        <f>_xlfn.IFNA(VLOOKUP(C57,Arch[[#All],[ID]:[Name]],2,FALSE),"")</f>
        <v/>
      </c>
      <c r="E57" s="4"/>
      <c r="F57" s="4"/>
      <c r="G57" s="4"/>
    </row>
    <row r="58" spans="1:7" ht="15.75" customHeight="1" x14ac:dyDescent="0.25">
      <c r="A58" s="4"/>
      <c r="B58" t="str">
        <f>_xlfn.IFNA(VLOOKUP(A58,ASR[[#All],[ID]:[Name]],2,FALSE),"")</f>
        <v/>
      </c>
      <c r="C58" s="4"/>
      <c r="D58" t="str">
        <f>_xlfn.IFNA(VLOOKUP(C58,Arch[[#All],[ID]:[Name]],2,FALSE),"")</f>
        <v/>
      </c>
      <c r="E58" s="4"/>
      <c r="F58" s="4"/>
      <c r="G58" s="4"/>
    </row>
    <row r="59" spans="1:7" ht="15.75" customHeight="1" x14ac:dyDescent="0.25">
      <c r="A59" s="4"/>
      <c r="B59" t="str">
        <f>_xlfn.IFNA(VLOOKUP(A59,ASR[[#All],[ID]:[Name]],2,FALSE),"")</f>
        <v/>
      </c>
      <c r="C59" s="4"/>
      <c r="D59" t="str">
        <f>_xlfn.IFNA(VLOOKUP(C59,Arch[[#All],[ID]:[Name]],2,FALSE),"")</f>
        <v/>
      </c>
      <c r="E59" s="4"/>
      <c r="F59" s="4"/>
      <c r="G59" s="4"/>
    </row>
    <row r="60" spans="1:7" ht="15.75" customHeight="1" x14ac:dyDescent="0.25">
      <c r="A60" s="4"/>
      <c r="B60" t="str">
        <f>_xlfn.IFNA(VLOOKUP(A60,ASR[[#All],[ID]:[Name]],2,FALSE),"")</f>
        <v/>
      </c>
      <c r="C60" s="4"/>
      <c r="D60" t="str">
        <f>_xlfn.IFNA(VLOOKUP(C60,Arch[[#All],[ID]:[Name]],2,FALSE),"")</f>
        <v/>
      </c>
      <c r="E60" s="4"/>
      <c r="F60" s="4"/>
      <c r="G60" s="4"/>
    </row>
    <row r="61" spans="1:7" ht="15.75" customHeight="1" x14ac:dyDescent="0.25">
      <c r="A61" s="4"/>
      <c r="B61" t="str">
        <f>_xlfn.IFNA(VLOOKUP(A61,ASR[[#All],[ID]:[Name]],2,FALSE),"")</f>
        <v/>
      </c>
      <c r="C61" s="4"/>
      <c r="D61" t="str">
        <f>_xlfn.IFNA(VLOOKUP(C61,Arch[[#All],[ID]:[Name]],2,FALSE),"")</f>
        <v/>
      </c>
      <c r="E61" s="4"/>
      <c r="F61" s="4"/>
      <c r="G61" s="4"/>
    </row>
    <row r="62" spans="1:7" ht="15.75" customHeight="1" x14ac:dyDescent="0.25">
      <c r="A62" s="4"/>
      <c r="B62" t="str">
        <f>_xlfn.IFNA(VLOOKUP(A62,ASR[[#All],[ID]:[Name]],2,FALSE),"")</f>
        <v/>
      </c>
      <c r="C62" s="4"/>
      <c r="D62" t="str">
        <f>_xlfn.IFNA(VLOOKUP(C62,Arch[[#All],[ID]:[Name]],2,FALSE),"")</f>
        <v/>
      </c>
      <c r="E62" s="4"/>
      <c r="F62" s="4"/>
      <c r="G62" s="4"/>
    </row>
    <row r="63" spans="1:7" ht="15.75" customHeight="1" x14ac:dyDescent="0.25">
      <c r="A63" s="4"/>
      <c r="B63" t="str">
        <f>_xlfn.IFNA(VLOOKUP(A63,ASR[[#All],[ID]:[Name]],2,FALSE),"")</f>
        <v/>
      </c>
      <c r="C63" s="4"/>
      <c r="D63" t="str">
        <f>_xlfn.IFNA(VLOOKUP(C63,Arch[[#All],[ID]:[Name]],2,FALSE),"")</f>
        <v/>
      </c>
      <c r="E63" s="4"/>
      <c r="F63" s="4"/>
      <c r="G63" s="4"/>
    </row>
    <row r="64" spans="1:7" ht="15.75" customHeight="1" x14ac:dyDescent="0.25">
      <c r="A64" s="4"/>
      <c r="B64" t="str">
        <f>_xlfn.IFNA(VLOOKUP(A64,ASR[[#All],[ID]:[Name]],2,FALSE),"")</f>
        <v/>
      </c>
      <c r="C64" s="4"/>
      <c r="D64" t="str">
        <f>_xlfn.IFNA(VLOOKUP(C64,Arch[[#All],[ID]:[Name]],2,FALSE),"")</f>
        <v/>
      </c>
      <c r="E64" s="4"/>
      <c r="F64" s="4"/>
      <c r="G64" s="4"/>
    </row>
    <row r="65" spans="1:7" ht="15.75" customHeight="1" x14ac:dyDescent="0.25">
      <c r="A65" s="4"/>
      <c r="B65" t="str">
        <f>_xlfn.IFNA(VLOOKUP(A65,ASR[[#All],[ID]:[Name]],2,FALSE),"")</f>
        <v/>
      </c>
      <c r="C65" s="4"/>
      <c r="D65" t="str">
        <f>_xlfn.IFNA(VLOOKUP(C65,Arch[[#All],[ID]:[Name]],2,FALSE),"")</f>
        <v/>
      </c>
      <c r="E65" s="4"/>
      <c r="F65" s="4"/>
      <c r="G65" s="4"/>
    </row>
    <row r="66" spans="1:7" ht="15.75" customHeight="1" x14ac:dyDescent="0.25">
      <c r="A66" s="4"/>
      <c r="B66" t="str">
        <f>_xlfn.IFNA(VLOOKUP(A66,ASR[[#All],[ID]:[Name]],2,FALSE),"")</f>
        <v/>
      </c>
      <c r="C66" s="4"/>
      <c r="D66" t="str">
        <f>_xlfn.IFNA(VLOOKUP(C66,Arch[[#All],[ID]:[Name]],2,FALSE),"")</f>
        <v/>
      </c>
      <c r="E66" s="4"/>
      <c r="F66" s="4"/>
      <c r="G66" s="4"/>
    </row>
    <row r="67" spans="1:7" ht="15.75" customHeight="1" x14ac:dyDescent="0.25">
      <c r="A67" s="4"/>
      <c r="B67" t="str">
        <f>_xlfn.IFNA(VLOOKUP(A67,ASR[[#All],[ID]:[Name]],2,FALSE),"")</f>
        <v/>
      </c>
      <c r="C67" s="4"/>
      <c r="D67" t="str">
        <f>_xlfn.IFNA(VLOOKUP(C67,Arch[[#All],[ID]:[Name]],2,FALSE),"")</f>
        <v/>
      </c>
      <c r="E67" s="4"/>
      <c r="F67" s="4"/>
      <c r="G67" s="4"/>
    </row>
    <row r="68" spans="1:7" ht="15.75" customHeight="1" x14ac:dyDescent="0.25">
      <c r="A68" s="4"/>
      <c r="B68" t="str">
        <f>_xlfn.IFNA(VLOOKUP(A68,ASR[[#All],[ID]:[Name]],2,FALSE),"")</f>
        <v/>
      </c>
      <c r="C68" s="4"/>
      <c r="D68" t="str">
        <f>_xlfn.IFNA(VLOOKUP(C68,Arch[[#All],[ID]:[Name]],2,FALSE),"")</f>
        <v/>
      </c>
      <c r="E68" s="4"/>
      <c r="F68" s="4"/>
      <c r="G68" s="4"/>
    </row>
    <row r="69" spans="1:7" ht="15.75" customHeight="1" x14ac:dyDescent="0.25">
      <c r="A69" s="4"/>
      <c r="B69" t="str">
        <f>_xlfn.IFNA(VLOOKUP(A69,ASR[[#All],[ID]:[Name]],2,FALSE),"")</f>
        <v/>
      </c>
      <c r="C69" s="4"/>
      <c r="D69" t="str">
        <f>_xlfn.IFNA(VLOOKUP(C69,Arch[[#All],[ID]:[Name]],2,FALSE),"")</f>
        <v/>
      </c>
      <c r="E69" s="4"/>
      <c r="F69" s="4"/>
      <c r="G69" s="4"/>
    </row>
    <row r="70" spans="1:7" ht="15.75" customHeight="1" x14ac:dyDescent="0.25">
      <c r="A70" s="4"/>
      <c r="B70" t="str">
        <f>_xlfn.IFNA(VLOOKUP(A70,ASR[[#All],[ID]:[Name]],2,FALSE),"")</f>
        <v/>
      </c>
      <c r="C70" s="4"/>
      <c r="D70" t="str">
        <f>_xlfn.IFNA(VLOOKUP(C70,Arch[[#All],[ID]:[Name]],2,FALSE),"")</f>
        <v/>
      </c>
      <c r="E70" s="4"/>
      <c r="F70" s="4"/>
      <c r="G70" s="4"/>
    </row>
    <row r="71" spans="1:7" ht="15.75" customHeight="1" x14ac:dyDescent="0.25">
      <c r="A71" s="4"/>
      <c r="B71" t="str">
        <f>_xlfn.IFNA(VLOOKUP(A71,ASR[[#All],[ID]:[Name]],2,FALSE),"")</f>
        <v/>
      </c>
      <c r="C71" s="4"/>
      <c r="D71" t="str">
        <f>_xlfn.IFNA(VLOOKUP(C71,Arch[[#All],[ID]:[Name]],2,FALSE),"")</f>
        <v/>
      </c>
      <c r="E71" s="4"/>
      <c r="F71" s="4"/>
      <c r="G71" s="4"/>
    </row>
    <row r="72" spans="1:7" ht="15.75" customHeight="1" x14ac:dyDescent="0.25">
      <c r="A72" s="4"/>
      <c r="B72" t="str">
        <f>_xlfn.IFNA(VLOOKUP(A72,ASR[[#All],[ID]:[Name]],2,FALSE),"")</f>
        <v/>
      </c>
      <c r="C72" s="4"/>
      <c r="D72" t="str">
        <f>_xlfn.IFNA(VLOOKUP(C72,Arch[[#All],[ID]:[Name]],2,FALSE),"")</f>
        <v/>
      </c>
      <c r="E72" s="4"/>
      <c r="F72" s="4"/>
      <c r="G72" s="4"/>
    </row>
    <row r="73" spans="1:7" ht="15.75" customHeight="1" x14ac:dyDescent="0.25">
      <c r="A73" s="4"/>
      <c r="B73" t="str">
        <f>_xlfn.IFNA(VLOOKUP(A73,ASR[[#All],[ID]:[Name]],2,FALSE),"")</f>
        <v/>
      </c>
      <c r="C73" s="4"/>
      <c r="D73" t="str">
        <f>_xlfn.IFNA(VLOOKUP(C73,Arch[[#All],[ID]:[Name]],2,FALSE),"")</f>
        <v/>
      </c>
      <c r="E73" s="4"/>
      <c r="F73" s="4"/>
      <c r="G73" s="4"/>
    </row>
    <row r="74" spans="1:7" ht="15.75" customHeight="1" x14ac:dyDescent="0.25">
      <c r="A74" s="4"/>
      <c r="B74" t="str">
        <f>_xlfn.IFNA(VLOOKUP(A74,ASR[[#All],[ID]:[Name]],2,FALSE),"")</f>
        <v/>
      </c>
      <c r="C74" s="4"/>
      <c r="D74" t="str">
        <f>_xlfn.IFNA(VLOOKUP(C74,Arch[[#All],[ID]:[Name]],2,FALSE),"")</f>
        <v/>
      </c>
      <c r="E74" s="4"/>
      <c r="F74" s="4"/>
      <c r="G74" s="4"/>
    </row>
    <row r="75" spans="1:7" ht="15.75" customHeight="1" x14ac:dyDescent="0.25">
      <c r="A75" s="4"/>
      <c r="B75" t="str">
        <f>_xlfn.IFNA(VLOOKUP(A75,ASR[[#All],[ID]:[Name]],2,FALSE),"")</f>
        <v/>
      </c>
      <c r="C75" s="4"/>
      <c r="D75" t="str">
        <f>_xlfn.IFNA(VLOOKUP(C75,Arch[[#All],[ID]:[Name]],2,FALSE),"")</f>
        <v/>
      </c>
      <c r="E75" s="4"/>
      <c r="F75" s="4"/>
      <c r="G75" s="4"/>
    </row>
    <row r="76" spans="1:7" ht="15.75" customHeight="1" x14ac:dyDescent="0.25">
      <c r="A76" s="4"/>
      <c r="B76" t="str">
        <f>_xlfn.IFNA(VLOOKUP(A76,ASR[[#All],[ID]:[Name]],2,FALSE),"")</f>
        <v/>
      </c>
      <c r="C76" s="4"/>
      <c r="D76" t="str">
        <f>_xlfn.IFNA(VLOOKUP(C76,Arch[[#All],[ID]:[Name]],2,FALSE),"")</f>
        <v/>
      </c>
      <c r="E76" s="4"/>
      <c r="F76" s="4"/>
      <c r="G76" s="4"/>
    </row>
    <row r="77" spans="1:7" ht="15.75" customHeight="1" x14ac:dyDescent="0.25">
      <c r="A77" s="4"/>
      <c r="B77" t="str">
        <f>_xlfn.IFNA(VLOOKUP(A77,ASR[[#All],[ID]:[Name]],2,FALSE),"")</f>
        <v/>
      </c>
      <c r="C77" s="4"/>
      <c r="D77" t="str">
        <f>_xlfn.IFNA(VLOOKUP(C77,Arch[[#All],[ID]:[Name]],2,FALSE),"")</f>
        <v/>
      </c>
      <c r="E77" s="4"/>
      <c r="F77" s="4"/>
      <c r="G77" s="4"/>
    </row>
    <row r="78" spans="1:7" ht="15.75" customHeight="1" x14ac:dyDescent="0.25">
      <c r="A78" s="4"/>
      <c r="B78" t="str">
        <f>_xlfn.IFNA(VLOOKUP(A78,ASR[[#All],[ID]:[Name]],2,FALSE),"")</f>
        <v/>
      </c>
      <c r="C78" s="4"/>
      <c r="D78" t="str">
        <f>_xlfn.IFNA(VLOOKUP(C78,Arch[[#All],[ID]:[Name]],2,FALSE),"")</f>
        <v/>
      </c>
      <c r="E78" s="4"/>
      <c r="F78" s="4"/>
      <c r="G78" s="4"/>
    </row>
    <row r="79" spans="1:7" ht="15.75" customHeight="1" x14ac:dyDescent="0.25">
      <c r="A79" s="4"/>
      <c r="B79" t="str">
        <f>_xlfn.IFNA(VLOOKUP(A79,ASR[[#All],[ID]:[Name]],2,FALSE),"")</f>
        <v/>
      </c>
      <c r="C79" s="4"/>
      <c r="D79" t="str">
        <f>_xlfn.IFNA(VLOOKUP(C79,Arch[[#All],[ID]:[Name]],2,FALSE),"")</f>
        <v/>
      </c>
      <c r="E79" s="4"/>
      <c r="F79" s="4"/>
      <c r="G79" s="4"/>
    </row>
    <row r="80" spans="1:7" ht="15.75" customHeight="1" x14ac:dyDescent="0.25">
      <c r="A80" s="4"/>
      <c r="B80" t="str">
        <f>_xlfn.IFNA(VLOOKUP(A80,ASR[[#All],[ID]:[Name]],2,FALSE),"")</f>
        <v/>
      </c>
      <c r="C80" s="4"/>
      <c r="D80" t="str">
        <f>_xlfn.IFNA(VLOOKUP(C80,Arch[[#All],[ID]:[Name]],2,FALSE),"")</f>
        <v/>
      </c>
      <c r="E80" s="4"/>
      <c r="F80" s="4"/>
      <c r="G80" s="4"/>
    </row>
    <row r="81" spans="1:7" ht="15.75" customHeight="1" x14ac:dyDescent="0.25">
      <c r="A81" s="4"/>
      <c r="B81" t="str">
        <f>_xlfn.IFNA(VLOOKUP(A81,ASR[[#All],[ID]:[Name]],2,FALSE),"")</f>
        <v/>
      </c>
      <c r="C81" s="4"/>
      <c r="D81" t="str">
        <f>_xlfn.IFNA(VLOOKUP(C81,Arch[[#All],[ID]:[Name]],2,FALSE),"")</f>
        <v/>
      </c>
      <c r="E81" s="4"/>
      <c r="F81" s="4"/>
      <c r="G81" s="4"/>
    </row>
    <row r="82" spans="1:7" ht="15.75" customHeight="1" x14ac:dyDescent="0.25">
      <c r="A82" s="4"/>
      <c r="B82" t="str">
        <f>_xlfn.IFNA(VLOOKUP(A82,ASR[[#All],[ID]:[Name]],2,FALSE),"")</f>
        <v/>
      </c>
      <c r="C82" s="4"/>
      <c r="D82" t="str">
        <f>_xlfn.IFNA(VLOOKUP(C82,Arch[[#All],[ID]:[Name]],2,FALSE),"")</f>
        <v/>
      </c>
      <c r="E82" s="4"/>
      <c r="F82" s="4"/>
      <c r="G82" s="4"/>
    </row>
    <row r="83" spans="1:7" ht="15.75" customHeight="1" x14ac:dyDescent="0.25">
      <c r="A83" s="4"/>
      <c r="B83" t="str">
        <f>_xlfn.IFNA(VLOOKUP(A83,ASR[[#All],[ID]:[Name]],2,FALSE),"")</f>
        <v/>
      </c>
      <c r="C83" s="4"/>
      <c r="D83" t="str">
        <f>_xlfn.IFNA(VLOOKUP(C83,Arch[[#All],[ID]:[Name]],2,FALSE),"")</f>
        <v/>
      </c>
      <c r="E83" s="4"/>
      <c r="F83" s="4"/>
      <c r="G83" s="4"/>
    </row>
    <row r="84" spans="1:7" ht="15.75" customHeight="1" x14ac:dyDescent="0.25">
      <c r="A84" s="4"/>
      <c r="B84" t="str">
        <f>_xlfn.IFNA(VLOOKUP(A84,ASR[[#All],[ID]:[Name]],2,FALSE),"")</f>
        <v/>
      </c>
      <c r="C84" s="4"/>
      <c r="D84" t="str">
        <f>_xlfn.IFNA(VLOOKUP(C84,Arch[[#All],[ID]:[Name]],2,FALSE),"")</f>
        <v/>
      </c>
      <c r="E84" s="4"/>
      <c r="F84" s="4"/>
      <c r="G84" s="4"/>
    </row>
    <row r="85" spans="1:7" ht="15.75" customHeight="1" x14ac:dyDescent="0.25">
      <c r="A85" s="4"/>
      <c r="B85" t="str">
        <f>_xlfn.IFNA(VLOOKUP(A85,ASR[[#All],[ID]:[Name]],2,FALSE),"")</f>
        <v/>
      </c>
      <c r="C85" s="4"/>
      <c r="D85" t="str">
        <f>_xlfn.IFNA(VLOOKUP(C85,Arch[[#All],[ID]:[Name]],2,FALSE),"")</f>
        <v/>
      </c>
      <c r="E85" s="4"/>
      <c r="F85" s="4"/>
      <c r="G85" s="4"/>
    </row>
    <row r="86" spans="1:7" ht="15.75" customHeight="1" x14ac:dyDescent="0.25">
      <c r="A86" s="4"/>
      <c r="B86" t="str">
        <f>_xlfn.IFNA(VLOOKUP(A86,ASR[[#All],[ID]:[Name]],2,FALSE),"")</f>
        <v/>
      </c>
      <c r="C86" s="4"/>
      <c r="D86" t="str">
        <f>_xlfn.IFNA(VLOOKUP(C86,Arch[[#All],[ID]:[Name]],2,FALSE),"")</f>
        <v/>
      </c>
      <c r="E86" s="4"/>
      <c r="F86" s="4"/>
      <c r="G86" s="4"/>
    </row>
    <row r="87" spans="1:7" ht="15.75" customHeight="1" x14ac:dyDescent="0.25">
      <c r="A87" s="4"/>
      <c r="B87" t="str">
        <f>_xlfn.IFNA(VLOOKUP(A87,ASR[[#All],[ID]:[Name]],2,FALSE),"")</f>
        <v/>
      </c>
      <c r="C87" s="4"/>
      <c r="D87" t="str">
        <f>_xlfn.IFNA(VLOOKUP(C87,Arch[[#All],[ID]:[Name]],2,FALSE),"")</f>
        <v/>
      </c>
      <c r="E87" s="4"/>
      <c r="F87" s="4"/>
      <c r="G87" s="4"/>
    </row>
    <row r="88" spans="1:7" ht="15.75" customHeight="1" x14ac:dyDescent="0.25">
      <c r="A88" s="4"/>
      <c r="B88" t="str">
        <f>_xlfn.IFNA(VLOOKUP(A88,ASR[[#All],[ID]:[Name]],2,FALSE),"")</f>
        <v/>
      </c>
      <c r="C88" s="4"/>
      <c r="D88" t="str">
        <f>_xlfn.IFNA(VLOOKUP(C88,Arch[[#All],[ID]:[Name]],2,FALSE),"")</f>
        <v/>
      </c>
      <c r="E88" s="4"/>
      <c r="F88" s="4"/>
      <c r="G88" s="4"/>
    </row>
    <row r="89" spans="1:7" ht="15.75" customHeight="1" x14ac:dyDescent="0.25">
      <c r="A89" s="4"/>
      <c r="B89" t="str">
        <f>_xlfn.IFNA(VLOOKUP(A89,ASR[[#All],[ID]:[Name]],2,FALSE),"")</f>
        <v/>
      </c>
      <c r="C89" s="4"/>
      <c r="D89" t="str">
        <f>_xlfn.IFNA(VLOOKUP(C89,Arch[[#All],[ID]:[Name]],2,FALSE),"")</f>
        <v/>
      </c>
      <c r="E89" s="4"/>
      <c r="F89" s="4"/>
      <c r="G89" s="4"/>
    </row>
    <row r="90" spans="1:7" ht="15.75" customHeight="1" x14ac:dyDescent="0.25">
      <c r="A90" s="4"/>
      <c r="B90" t="str">
        <f>_xlfn.IFNA(VLOOKUP(A90,ASR[[#All],[ID]:[Name]],2,FALSE),"")</f>
        <v/>
      </c>
      <c r="C90" s="4"/>
      <c r="D90" t="str">
        <f>_xlfn.IFNA(VLOOKUP(C90,Arch[[#All],[ID]:[Name]],2,FALSE),"")</f>
        <v/>
      </c>
      <c r="E90" s="4"/>
      <c r="F90" s="4"/>
      <c r="G90" s="4"/>
    </row>
    <row r="91" spans="1:7" ht="15.75" customHeight="1" x14ac:dyDescent="0.25">
      <c r="A91" s="4"/>
      <c r="B91" t="str">
        <f>_xlfn.IFNA(VLOOKUP(A91,ASR[[#All],[ID]:[Name]],2,FALSE),"")</f>
        <v/>
      </c>
      <c r="C91" s="4"/>
      <c r="D91" t="str">
        <f>_xlfn.IFNA(VLOOKUP(C91,Arch[[#All],[ID]:[Name]],2,FALSE),"")</f>
        <v/>
      </c>
      <c r="E91" s="4"/>
      <c r="F91" s="4"/>
      <c r="G91" s="4"/>
    </row>
    <row r="92" spans="1:7" ht="15.75" customHeight="1" x14ac:dyDescent="0.25">
      <c r="A92" s="4"/>
      <c r="B92" t="str">
        <f>_xlfn.IFNA(VLOOKUP(A92,ASR[[#All],[ID]:[Name]],2,FALSE),"")</f>
        <v/>
      </c>
      <c r="C92" s="4"/>
      <c r="D92" t="str">
        <f>_xlfn.IFNA(VLOOKUP(C92,Arch[[#All],[ID]:[Name]],2,FALSE),"")</f>
        <v/>
      </c>
      <c r="E92" s="4"/>
      <c r="F92" s="4"/>
      <c r="G92" s="4"/>
    </row>
    <row r="93" spans="1:7" ht="15.75" customHeight="1" x14ac:dyDescent="0.25">
      <c r="A93" s="4"/>
      <c r="B93" t="str">
        <f>_xlfn.IFNA(VLOOKUP(A93,ASR[[#All],[ID]:[Name]],2,FALSE),"")</f>
        <v/>
      </c>
      <c r="C93" s="4"/>
      <c r="D93" t="str">
        <f>_xlfn.IFNA(VLOOKUP(C93,Arch[[#All],[ID]:[Name]],2,FALSE),"")</f>
        <v/>
      </c>
      <c r="E93" s="4"/>
      <c r="F93" s="4"/>
      <c r="G93" s="4"/>
    </row>
    <row r="94" spans="1:7" ht="15.75" customHeight="1" x14ac:dyDescent="0.25">
      <c r="A94" s="4"/>
      <c r="B94" t="str">
        <f>_xlfn.IFNA(VLOOKUP(A94,ASR[[#All],[ID]:[Name]],2,FALSE),"")</f>
        <v/>
      </c>
      <c r="C94" s="4"/>
      <c r="D94" t="str">
        <f>_xlfn.IFNA(VLOOKUP(C94,Arch[[#All],[ID]:[Name]],2,FALSE),"")</f>
        <v/>
      </c>
      <c r="E94" s="4"/>
      <c r="F94" s="4"/>
      <c r="G94" s="4"/>
    </row>
    <row r="95" spans="1:7" ht="15.75" customHeight="1" x14ac:dyDescent="0.25">
      <c r="A95" s="4"/>
      <c r="B95" t="str">
        <f>_xlfn.IFNA(VLOOKUP(A95,ASR[[#All],[ID]:[Name]],2,FALSE),"")</f>
        <v/>
      </c>
      <c r="C95" s="4"/>
      <c r="D95" t="str">
        <f>_xlfn.IFNA(VLOOKUP(C95,Arch[[#All],[ID]:[Name]],2,FALSE),"")</f>
        <v/>
      </c>
      <c r="E95" s="4"/>
      <c r="F95" s="4"/>
      <c r="G95" s="4"/>
    </row>
    <row r="96" spans="1:7" ht="15.75" customHeight="1" x14ac:dyDescent="0.25">
      <c r="A96" s="4"/>
      <c r="B96" t="str">
        <f>_xlfn.IFNA(VLOOKUP(A96,ASR[[#All],[ID]:[Name]],2,FALSE),"")</f>
        <v/>
      </c>
      <c r="C96" s="4"/>
      <c r="D96" t="str">
        <f>_xlfn.IFNA(VLOOKUP(C96,Arch[[#All],[ID]:[Name]],2,FALSE),"")</f>
        <v/>
      </c>
      <c r="E96" s="4"/>
      <c r="F96" s="4"/>
      <c r="G96" s="4"/>
    </row>
    <row r="97" spans="1:7" ht="15.75" customHeight="1" x14ac:dyDescent="0.25">
      <c r="A97" s="4"/>
      <c r="B97" t="str">
        <f>_xlfn.IFNA(VLOOKUP(A97,ASR[[#All],[ID]:[Name]],2,FALSE),"")</f>
        <v/>
      </c>
      <c r="C97" s="4"/>
      <c r="D97" t="str">
        <f>_xlfn.IFNA(VLOOKUP(C97,Arch[[#All],[ID]:[Name]],2,FALSE),"")</f>
        <v/>
      </c>
      <c r="E97" s="4"/>
      <c r="F97" s="4"/>
      <c r="G97" s="4"/>
    </row>
    <row r="98" spans="1:7" ht="15.75" customHeight="1" x14ac:dyDescent="0.25">
      <c r="A98" s="4"/>
      <c r="B98" t="str">
        <f>_xlfn.IFNA(VLOOKUP(A98,ASR[[#All],[ID]:[Name]],2,FALSE),"")</f>
        <v/>
      </c>
      <c r="C98" s="4"/>
      <c r="D98" t="str">
        <f>_xlfn.IFNA(VLOOKUP(C98,Arch[[#All],[ID]:[Name]],2,FALSE),"")</f>
        <v/>
      </c>
      <c r="E98" s="4"/>
      <c r="F98" s="4"/>
      <c r="G98" s="4"/>
    </row>
    <row r="99" spans="1:7" ht="15.75" customHeight="1" x14ac:dyDescent="0.25">
      <c r="A99" s="4"/>
      <c r="B99" t="str">
        <f>_xlfn.IFNA(VLOOKUP(A99,ASR[[#All],[ID]:[Name]],2,FALSE),"")</f>
        <v/>
      </c>
      <c r="C99" s="4"/>
      <c r="D99" t="str">
        <f>_xlfn.IFNA(VLOOKUP(C99,Arch[[#All],[ID]:[Name]],2,FALSE),"")</f>
        <v/>
      </c>
      <c r="E99" s="4"/>
      <c r="F99" s="4"/>
      <c r="G99" s="4"/>
    </row>
    <row r="100" spans="1:7" ht="15.75" customHeight="1" x14ac:dyDescent="0.25">
      <c r="A100" s="4"/>
      <c r="B100" t="str">
        <f>_xlfn.IFNA(VLOOKUP(A100,ASR[[#All],[ID]:[Name]],2,FALSE),"")</f>
        <v/>
      </c>
      <c r="C100" s="4"/>
      <c r="D100" t="str">
        <f>_xlfn.IFNA(VLOOKUP(C100,Arch[[#All],[ID]:[Name]],2,FALSE),"")</f>
        <v/>
      </c>
      <c r="E100" s="4"/>
      <c r="F100" s="4"/>
      <c r="G100" s="4"/>
    </row>
    <row r="101" spans="1:7" ht="15.75" customHeight="1" x14ac:dyDescent="0.25">
      <c r="A101" s="4"/>
      <c r="B101" t="str">
        <f>_xlfn.IFNA(VLOOKUP(A101,ASR[[#All],[ID]:[Name]],2,FALSE),"")</f>
        <v/>
      </c>
      <c r="C101" s="4"/>
      <c r="D101" t="str">
        <f>_xlfn.IFNA(VLOOKUP(C101,Arch[[#All],[ID]:[Name]],2,FALSE),"")</f>
        <v/>
      </c>
      <c r="E101" s="4"/>
      <c r="F101" s="4"/>
      <c r="G101" s="4"/>
    </row>
    <row r="102" spans="1:7" ht="15.75" customHeight="1" x14ac:dyDescent="0.25">
      <c r="A102" s="4"/>
      <c r="B102" t="str">
        <f>_xlfn.IFNA(VLOOKUP(A102,ASR[[#All],[ID]:[Name]],2,FALSE),"")</f>
        <v/>
      </c>
      <c r="C102" s="4"/>
      <c r="D102" t="str">
        <f>_xlfn.IFNA(VLOOKUP(C102,Arch[[#All],[ID]:[Name]],2,FALSE),"")</f>
        <v/>
      </c>
      <c r="E102" s="4"/>
      <c r="F102" s="4"/>
      <c r="G102" s="4"/>
    </row>
    <row r="103" spans="1:7" ht="15.75" customHeight="1" x14ac:dyDescent="0.25"/>
    <row r="104" spans="1:7" ht="15.75" customHeight="1" x14ac:dyDescent="0.25"/>
    <row r="105" spans="1:7" ht="15.75" customHeight="1" x14ac:dyDescent="0.25"/>
    <row r="106" spans="1:7" ht="15.75" customHeight="1" x14ac:dyDescent="0.25"/>
    <row r="107" spans="1:7" ht="15.75" customHeight="1" x14ac:dyDescent="0.25"/>
    <row r="108" spans="1:7" ht="15.75" customHeight="1" x14ac:dyDescent="0.25"/>
    <row r="109" spans="1:7" ht="15.75" customHeight="1" x14ac:dyDescent="0.25"/>
    <row r="110" spans="1:7" ht="15.75" customHeight="1" x14ac:dyDescent="0.25"/>
    <row r="111" spans="1:7" ht="15.75" customHeight="1" x14ac:dyDescent="0.25"/>
    <row r="112" spans="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3">
    <mergeCell ref="A4:B4"/>
    <mergeCell ref="C4:D4"/>
    <mergeCell ref="E4:G4"/>
  </mergeCells>
  <phoneticPr fontId="14" type="noConversion"/>
  <pageMargins left="0.7" right="0.7" top="0.75" bottom="0.75" header="0" footer="0"/>
  <pageSetup orientation="landscape"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77F70ABD-53B9-4931-B1BB-2FCDF337D69B}">
          <x14:formula1>
            <xm:f>ASR!$A$5:$A$101</xm:f>
          </x14:formula1>
          <xm:sqref>A19:A102 A6:A16</xm:sqref>
        </x14:dataValidation>
        <x14:dataValidation type="list" allowBlank="1" showInputMessage="1" showErrorMessage="1" xr:uid="{C67D1856-6A9A-4B93-88B3-BD8FA3692F09}">
          <x14:formula1>
            <xm:f>ARCH!$A$5:$A$101</xm:f>
          </x14:formula1>
          <xm:sqref>C19:C102 C6:C16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Summary</vt:lpstr>
      <vt:lpstr>Risks</vt:lpstr>
      <vt:lpstr>Issues</vt:lpstr>
      <vt:lpstr>Assumptions</vt:lpstr>
      <vt:lpstr>Dependencies</vt:lpstr>
      <vt:lpstr>ASR</vt:lpstr>
      <vt:lpstr>ARCH</vt:lpstr>
      <vt:lpstr>Relations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António Damasceno</dc:creator>
  <cp:lastModifiedBy>Tiago Duarte Marques</cp:lastModifiedBy>
  <dcterms:created xsi:type="dcterms:W3CDTF">2022-02-11T11:02:55Z</dcterms:created>
  <dcterms:modified xsi:type="dcterms:W3CDTF">2026-01-15T22:20:44Z</dcterms:modified>
</cp:coreProperties>
</file>